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56848b8bf18fbc/Documents/GigStandard/"/>
    </mc:Choice>
  </mc:AlternateContent>
  <xr:revisionPtr revIDLastSave="919" documentId="8_{563CB8C8-D6D3-6446-A959-43F82E7ABA4B}" xr6:coauthVersionLast="47" xr6:coauthVersionMax="47" xr10:uidLastSave="{91236A80-6E2E-4A3F-A7E7-62265C4A45F8}"/>
  <bookViews>
    <workbookView xWindow="-120" yWindow="-120" windowWidth="38640" windowHeight="21840" activeTab="2" xr2:uid="{D949224A-B837-104C-A278-44F28548E30F}"/>
  </bookViews>
  <sheets>
    <sheet name="Assumptions" sheetId="1" r:id="rId1"/>
    <sheet name="Market_Comps" sheetId="2" r:id="rId2"/>
    <sheet name="Valuation" sheetId="4" r:id="rId3"/>
    <sheet name="Interfac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 a="1"/>
  <c r="D4" i="4" s="1"/>
  <c r="D21" i="4"/>
  <c r="D13" i="4"/>
  <c r="D15" i="4" s="1"/>
  <c r="D20" i="4" s="1"/>
  <c r="D11" i="4"/>
  <c r="D3" i="4"/>
  <c r="D6" i="3" s="1"/>
  <c r="E31" i="1"/>
  <c r="E14" i="2" a="1"/>
  <c r="E14" i="2" s="1"/>
  <c r="D7" i="4" a="1"/>
  <c r="D7" i="4" s="1"/>
  <c r="D8" i="4" s="1"/>
  <c r="E15" i="2" a="1"/>
  <c r="E15" i="2" s="1"/>
  <c r="E16" i="2" a="1"/>
  <c r="E16" i="2" s="1"/>
  <c r="E17" i="2" a="1"/>
  <c r="E17" i="2" s="1"/>
  <c r="E18" i="2" a="1"/>
  <c r="E18" i="2" s="1"/>
  <c r="E19" i="2" a="1"/>
  <c r="E19" i="2" s="1"/>
  <c r="E20" i="2" a="1"/>
  <c r="E20" i="2" s="1"/>
  <c r="E21" i="2" a="1"/>
  <c r="E21" i="2" s="1"/>
  <c r="E22" i="2" a="1"/>
  <c r="E22" i="2" s="1"/>
  <c r="E23" i="2" a="1"/>
  <c r="E23" i="2" s="1"/>
  <c r="E29" i="2" a="1"/>
  <c r="E29" i="2" s="1"/>
  <c r="E30" i="2" a="1"/>
  <c r="E30" i="2" s="1"/>
  <c r="E31" i="2" a="1"/>
  <c r="E31" i="2" s="1"/>
  <c r="E32" i="2" a="1"/>
  <c r="E32" i="2" s="1"/>
  <c r="E33" i="2" a="1"/>
  <c r="E33" i="2" s="1"/>
  <c r="E34" i="2" a="1"/>
  <c r="E34" i="2" s="1"/>
  <c r="E35" i="2" a="1"/>
  <c r="E35" i="2" s="1"/>
  <c r="E36" i="2" a="1"/>
  <c r="E36" i="2" s="1"/>
  <c r="E37" i="2" a="1"/>
  <c r="E37" i="2" s="1"/>
  <c r="E38" i="2" a="1"/>
  <c r="E38" i="2"/>
  <c r="E39" i="2" a="1"/>
  <c r="E39" i="2"/>
  <c r="E40" i="2" a="1"/>
  <c r="E40" i="2" s="1"/>
  <c r="E41" i="2" a="1"/>
  <c r="E41" i="2"/>
  <c r="E42" i="2" a="1"/>
  <c r="E42" i="2"/>
  <c r="E43" i="2" a="1"/>
  <c r="E43" i="2" s="1"/>
  <c r="E44" i="2" a="1"/>
  <c r="E44" i="2" s="1"/>
  <c r="E45" i="2" a="1"/>
  <c r="E45" i="2" s="1"/>
  <c r="E46" i="2" a="1"/>
  <c r="E46" i="2" s="1"/>
  <c r="E47" i="2" a="1"/>
  <c r="E47" i="2" s="1"/>
  <c r="E48" i="2" a="1"/>
  <c r="E48" i="2" s="1"/>
  <c r="E49" i="2" a="1"/>
  <c r="E49" i="2" s="1"/>
  <c r="E50" i="2" a="1"/>
  <c r="E50" i="2" s="1"/>
  <c r="E51" i="2" a="1"/>
  <c r="E51" i="2" s="1"/>
  <c r="E52" i="2" a="1"/>
  <c r="E52" i="2" s="1"/>
  <c r="E53" i="2" a="1"/>
  <c r="E53" i="2" s="1"/>
  <c r="E54" i="2" a="1"/>
  <c r="E54" i="2" s="1"/>
  <c r="E55" i="2" a="1"/>
  <c r="E55" i="2" s="1"/>
  <c r="E56" i="2" a="1"/>
  <c r="E56" i="2" s="1"/>
  <c r="E57" i="2" a="1"/>
  <c r="E57" i="2"/>
  <c r="E58" i="2" a="1"/>
  <c r="E58" i="2"/>
  <c r="E59" i="2" a="1"/>
  <c r="E59" i="2"/>
  <c r="E60" i="2" a="1"/>
  <c r="E60" i="2" s="1"/>
  <c r="E61" i="2" a="1"/>
  <c r="E61" i="2" s="1"/>
  <c r="E62" i="2" a="1"/>
  <c r="E62" i="2" s="1"/>
  <c r="E63" i="2" a="1"/>
  <c r="E63" i="2" s="1"/>
  <c r="E64" i="2" a="1"/>
  <c r="E64" i="2" s="1"/>
  <c r="E65" i="2" a="1"/>
  <c r="E65" i="2" s="1"/>
  <c r="E66" i="2" a="1"/>
  <c r="E66" i="2" s="1"/>
  <c r="E67" i="2" a="1"/>
  <c r="E67" i="2" s="1"/>
  <c r="E68" i="2" a="1"/>
  <c r="E68" i="2" s="1"/>
  <c r="E69" i="2" a="1"/>
  <c r="E69" i="2" s="1"/>
  <c r="E70" i="2" a="1"/>
  <c r="E70" i="2" s="1"/>
  <c r="E71" i="2" a="1"/>
  <c r="E71" i="2" s="1"/>
  <c r="E72" i="2" a="1"/>
  <c r="E72" i="2"/>
  <c r="E73" i="2" a="1"/>
  <c r="E73" i="2" s="1"/>
  <c r="E74" i="2" a="1"/>
  <c r="E74" i="2" s="1"/>
  <c r="E75" i="2" a="1"/>
  <c r="E75" i="2" s="1"/>
  <c r="E76" i="2" a="1"/>
  <c r="E76" i="2" s="1"/>
  <c r="E77" i="2" a="1"/>
  <c r="E77" i="2" s="1"/>
  <c r="E78" i="2" a="1"/>
  <c r="E78" i="2"/>
  <c r="E79" i="2" a="1"/>
  <c r="E79" i="2"/>
  <c r="E80" i="2" a="1"/>
  <c r="E80" i="2" s="1"/>
  <c r="E81" i="2" a="1"/>
  <c r="E81" i="2" s="1"/>
  <c r="E82" i="2" a="1"/>
  <c r="E82" i="2"/>
  <c r="E83" i="2" a="1"/>
  <c r="E83" i="2" s="1"/>
  <c r="E84" i="2" a="1"/>
  <c r="E84" i="2" s="1"/>
  <c r="E85" i="2" a="1"/>
  <c r="E85" i="2" s="1"/>
  <c r="E86" i="2" a="1"/>
  <c r="E86" i="2" s="1"/>
  <c r="E87" i="2" a="1"/>
  <c r="E87" i="2"/>
  <c r="E88" i="2" a="1"/>
  <c r="E88" i="2"/>
  <c r="E89" i="2" a="1"/>
  <c r="E89" i="2" s="1"/>
  <c r="E90" i="2" a="1"/>
  <c r="E90" i="2" s="1"/>
  <c r="E91" i="2" a="1"/>
  <c r="E91" i="2" s="1"/>
  <c r="E92" i="2" a="1"/>
  <c r="E92" i="2" s="1"/>
  <c r="E93" i="2" a="1"/>
  <c r="E93" i="2" s="1"/>
  <c r="E94" i="2" a="1"/>
  <c r="E94" i="2"/>
  <c r="E95" i="2" a="1"/>
  <c r="E95" i="2" s="1"/>
  <c r="E96" i="2" a="1"/>
  <c r="E96" i="2" s="1"/>
  <c r="E97" i="2" a="1"/>
  <c r="E97" i="2" s="1"/>
  <c r="E98" i="2" a="1"/>
  <c r="E98" i="2"/>
  <c r="E99" i="2" a="1"/>
  <c r="E99" i="2" s="1"/>
  <c r="E100" i="2" a="1"/>
  <c r="E100" i="2" s="1"/>
  <c r="E101" i="2" a="1"/>
  <c r="E101" i="2" s="1"/>
  <c r="E102" i="2" a="1"/>
  <c r="E102" i="2" s="1"/>
  <c r="E103" i="2" a="1"/>
  <c r="E103" i="2" s="1"/>
  <c r="E104" i="2" a="1"/>
  <c r="E104" i="2" s="1"/>
  <c r="E105" i="2" a="1"/>
  <c r="E105" i="2" s="1"/>
  <c r="E106" i="2" a="1"/>
  <c r="E106" i="2" s="1"/>
  <c r="E107" i="2" a="1"/>
  <c r="E107" i="2"/>
  <c r="E108" i="2" a="1"/>
  <c r="E108" i="2" s="1"/>
  <c r="E109" i="2" a="1"/>
  <c r="E109" i="2" s="1"/>
  <c r="E110" i="2" a="1"/>
  <c r="E110" i="2"/>
  <c r="E111" i="2" a="1"/>
  <c r="E111" i="2" s="1"/>
  <c r="E112" i="2" a="1"/>
  <c r="E112" i="2" s="1"/>
  <c r="E113" i="2" a="1"/>
  <c r="E113" i="2" s="1"/>
  <c r="E114" i="2" a="1"/>
  <c r="E114" i="2" s="1"/>
  <c r="E115" i="2" a="1"/>
  <c r="E115" i="2" s="1"/>
  <c r="E116" i="2" a="1"/>
  <c r="E116" i="2" s="1"/>
  <c r="E117" i="2" a="1"/>
  <c r="E117" i="2" s="1"/>
  <c r="E118" i="2" a="1"/>
  <c r="E118" i="2"/>
  <c r="E119" i="2" a="1"/>
  <c r="E119" i="2"/>
  <c r="E120" i="2" a="1"/>
  <c r="E120" i="2"/>
  <c r="E121" i="2" a="1"/>
  <c r="E121" i="2"/>
  <c r="E122" i="2" a="1"/>
  <c r="E122" i="2" s="1"/>
  <c r="E123" i="2" a="1"/>
  <c r="E123" i="2" s="1"/>
  <c r="E124" i="2" a="1"/>
  <c r="E124" i="2" s="1"/>
  <c r="E125" i="2" a="1"/>
  <c r="E125" i="2" s="1"/>
  <c r="E126" i="2" a="1"/>
  <c r="E126" i="2" s="1"/>
  <c r="E127" i="2" a="1"/>
  <c r="E127" i="2" s="1"/>
  <c r="E128" i="2" a="1"/>
  <c r="E128" i="2" s="1"/>
  <c r="E129" i="2" a="1"/>
  <c r="E129" i="2" s="1"/>
  <c r="E130" i="2" a="1"/>
  <c r="E130" i="2" s="1"/>
  <c r="E131" i="2" a="1"/>
  <c r="E131" i="2"/>
  <c r="E132" i="2" a="1"/>
  <c r="E132" i="2" s="1"/>
  <c r="E133" i="2" a="1"/>
  <c r="E133" i="2" s="1"/>
  <c r="E134" i="2" a="1"/>
  <c r="E134" i="2" s="1"/>
  <c r="E135" i="2" a="1"/>
  <c r="E135" i="2" s="1"/>
  <c r="E136" i="2" a="1"/>
  <c r="E136" i="2" s="1"/>
  <c r="E137" i="2" a="1"/>
  <c r="E137" i="2" s="1"/>
  <c r="E138" i="2" a="1"/>
  <c r="E138" i="2" s="1"/>
  <c r="E139" i="2" a="1"/>
  <c r="E139" i="2" s="1"/>
  <c r="E140" i="2" a="1"/>
  <c r="E140" i="2"/>
  <c r="E141" i="2" a="1"/>
  <c r="E141" i="2"/>
  <c r="E142" i="2" a="1"/>
  <c r="E142" i="2" s="1"/>
  <c r="E143" i="2" a="1"/>
  <c r="E143" i="2" s="1"/>
  <c r="E149" i="2" a="1"/>
  <c r="E149" i="2"/>
  <c r="E150" i="2" a="1"/>
  <c r="E150" i="2"/>
  <c r="E151" i="2" a="1"/>
  <c r="E151" i="2" s="1"/>
  <c r="E152" i="2" a="1"/>
  <c r="E152" i="2" s="1"/>
  <c r="E153" i="2" a="1"/>
  <c r="E153" i="2" s="1"/>
  <c r="E154" i="2" a="1"/>
  <c r="E154" i="2" s="1"/>
  <c r="E155" i="2" a="1"/>
  <c r="E155" i="2" s="1"/>
  <c r="E156" i="2" a="1"/>
  <c r="E156" i="2" s="1"/>
  <c r="E157" i="2" a="1"/>
  <c r="E157" i="2" s="1"/>
  <c r="E158" i="2" a="1"/>
  <c r="E158" i="2"/>
  <c r="E159" i="2" a="1"/>
  <c r="E159" i="2"/>
  <c r="E160" i="2" a="1"/>
  <c r="E160" i="2" s="1"/>
  <c r="E161" i="2" a="1"/>
  <c r="E161" i="2" s="1"/>
  <c r="E162" i="2" a="1"/>
  <c r="E162" i="2"/>
  <c r="E163" i="2" a="1"/>
  <c r="E163" i="2" s="1"/>
  <c r="E164" i="2" a="1"/>
  <c r="E164" i="2" s="1"/>
  <c r="E165" i="2" a="1"/>
  <c r="E165" i="2" s="1"/>
  <c r="E166" i="2" a="1"/>
  <c r="E166" i="2" s="1"/>
  <c r="E167" i="2" a="1"/>
  <c r="E167" i="2" s="1"/>
  <c r="E168" i="2" a="1"/>
  <c r="E168" i="2" s="1"/>
  <c r="E169" i="2" a="1"/>
  <c r="E169" i="2" s="1"/>
  <c r="E170" i="2" a="1"/>
  <c r="E170" i="2" s="1"/>
  <c r="E171" i="2" a="1"/>
  <c r="E171" i="2" s="1"/>
  <c r="E172" i="2" a="1"/>
  <c r="E172" i="2"/>
  <c r="E173" i="2" a="1"/>
  <c r="E173" i="2" s="1"/>
  <c r="E174" i="2" a="1"/>
  <c r="E174" i="2" s="1"/>
  <c r="E175" i="2" a="1"/>
  <c r="E175" i="2" s="1"/>
  <c r="E176" i="2" a="1"/>
  <c r="E176" i="2" s="1"/>
  <c r="E177" i="2" a="1"/>
  <c r="E177" i="2" s="1"/>
  <c r="E178" i="2" a="1"/>
  <c r="E178" i="2"/>
  <c r="E179" i="2" a="1"/>
  <c r="E179" i="2" s="1"/>
  <c r="E180" i="2" a="1"/>
  <c r="E180" i="2" s="1"/>
  <c r="E181" i="2" a="1"/>
  <c r="E181" i="2" s="1"/>
  <c r="E182" i="2" a="1"/>
  <c r="E182" i="2" s="1"/>
  <c r="E183" i="2" a="1"/>
  <c r="E183" i="2" s="1"/>
  <c r="E184" i="2" a="1"/>
  <c r="E184" i="2" s="1"/>
  <c r="E185" i="2" a="1"/>
  <c r="E185" i="2" s="1"/>
  <c r="E186" i="2" a="1"/>
  <c r="E186" i="2" s="1"/>
  <c r="E187" i="2" a="1"/>
  <c r="E187" i="2"/>
  <c r="E188" i="2" a="1"/>
  <c r="E188" i="2" s="1"/>
  <c r="E189" i="2" a="1"/>
  <c r="E189" i="2"/>
  <c r="E190" i="2" a="1"/>
  <c r="E190" i="2" s="1"/>
  <c r="E191" i="2" a="1"/>
  <c r="E191" i="2" s="1"/>
  <c r="E192" i="2" a="1"/>
  <c r="E192" i="2" s="1"/>
  <c r="E193" i="2" a="1"/>
  <c r="E193" i="2" s="1"/>
  <c r="E194" i="2" a="1"/>
  <c r="E194" i="2"/>
  <c r="E195" i="2" a="1"/>
  <c r="E195" i="2" s="1"/>
  <c r="E196" i="2" a="1"/>
  <c r="E196" i="2" s="1"/>
  <c r="E197" i="2" a="1"/>
  <c r="E197" i="2" s="1"/>
  <c r="E198" i="2" a="1"/>
  <c r="E198" i="2" s="1"/>
  <c r="E199" i="2" a="1"/>
  <c r="E199" i="2" s="1"/>
  <c r="E200" i="2" a="1"/>
  <c r="E200" i="2" s="1"/>
  <c r="E201" i="2" a="1"/>
  <c r="E201" i="2" s="1"/>
  <c r="E202" i="2" a="1"/>
  <c r="E202" i="2"/>
  <c r="E203" i="2" a="1"/>
  <c r="E203" i="2" s="1"/>
  <c r="E204" i="2" a="1"/>
  <c r="E204" i="2"/>
  <c r="E205" i="2" a="1"/>
  <c r="E205" i="2" s="1"/>
  <c r="E206" i="2" a="1"/>
  <c r="E206" i="2" s="1"/>
  <c r="E207" i="2" a="1"/>
  <c r="E207" i="2" s="1"/>
  <c r="E208" i="2" a="1"/>
  <c r="E208" i="2"/>
  <c r="E209" i="2" a="1"/>
  <c r="E209" i="2" s="1"/>
  <c r="E210" i="2" a="1"/>
  <c r="E210" i="2" s="1"/>
  <c r="E211" i="2" a="1"/>
  <c r="E211" i="2" s="1"/>
  <c r="E212" i="2" a="1"/>
  <c r="E212" i="2" s="1"/>
  <c r="E213" i="2" a="1"/>
  <c r="E213" i="2" s="1"/>
  <c r="E214" i="2" a="1"/>
  <c r="E214" i="2" s="1"/>
  <c r="E215" i="2" a="1"/>
  <c r="E215" i="2" s="1"/>
  <c r="E216" i="2" a="1"/>
  <c r="E216" i="2" s="1"/>
  <c r="E217" i="2" a="1"/>
  <c r="E217" i="2" s="1"/>
  <c r="E218" i="2" a="1"/>
  <c r="E218" i="2" s="1"/>
  <c r="E219" i="2" a="1"/>
  <c r="E219" i="2"/>
  <c r="E220" i="2" a="1"/>
  <c r="E220" i="2" s="1"/>
  <c r="E221" i="2" a="1"/>
  <c r="E221" i="2"/>
  <c r="E222" i="2" a="1"/>
  <c r="E222" i="2" s="1"/>
  <c r="E223" i="2" a="1"/>
  <c r="E223" i="2" s="1"/>
  <c r="E224" i="2" a="1"/>
  <c r="E224" i="2"/>
  <c r="E225" i="2" a="1"/>
  <c r="E225" i="2" s="1"/>
  <c r="E226" i="2" a="1"/>
  <c r="E226" i="2" s="1"/>
  <c r="E227" i="2" a="1"/>
  <c r="E227" i="2" s="1"/>
  <c r="E228" i="2" a="1"/>
  <c r="E228" i="2" s="1"/>
  <c r="E229" i="2" a="1"/>
  <c r="E229" i="2" s="1"/>
  <c r="E230" i="2" a="1"/>
  <c r="E230" i="2"/>
  <c r="E231" i="2" a="1"/>
  <c r="E231" i="2" s="1"/>
  <c r="E232" i="2" a="1"/>
  <c r="E232" i="2" s="1"/>
  <c r="E233" i="2" a="1"/>
  <c r="E233" i="2" s="1"/>
  <c r="E234" i="2" a="1"/>
  <c r="E234" i="2"/>
  <c r="E235" i="2" a="1"/>
  <c r="E235" i="2" s="1"/>
  <c r="E236" i="2" a="1"/>
  <c r="E236" i="2" s="1"/>
  <c r="E237" i="2" a="1"/>
  <c r="E237" i="2" s="1"/>
  <c r="E238" i="2" a="1"/>
  <c r="E238" i="2" s="1"/>
  <c r="E239" i="2" a="1"/>
  <c r="E239" i="2" s="1"/>
  <c r="E240" i="2" a="1"/>
  <c r="E240" i="2" s="1"/>
  <c r="E241" i="2" a="1"/>
  <c r="E241" i="2" s="1"/>
  <c r="E242" i="2" a="1"/>
  <c r="E242" i="2" s="1"/>
  <c r="E243" i="2" a="1"/>
  <c r="E243" i="2" s="1"/>
  <c r="D5" i="4" l="1"/>
  <c r="D7" i="3" s="1"/>
  <c r="D9" i="4"/>
  <c r="D19" i="4" s="1"/>
  <c r="D23" i="4" s="1"/>
  <c r="D4" i="3" s="1"/>
  <c r="D17" i="4" l="1"/>
  <c r="D5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<sst xmlns="http://schemas.openxmlformats.org/spreadsheetml/2006/main" count="761" uniqueCount="166">
  <si>
    <t>Assumptions Sheet</t>
  </si>
  <si>
    <t>Basic</t>
  </si>
  <si>
    <t>Company Name</t>
  </si>
  <si>
    <t>Job Level</t>
  </si>
  <si>
    <t>Is Onsite</t>
  </si>
  <si>
    <t>Zoom</t>
  </si>
  <si>
    <t>Base Salary</t>
  </si>
  <si>
    <t>Target Bonus Pct</t>
  </si>
  <si>
    <t>Revenue</t>
  </si>
  <si>
    <t>RSU Per Year</t>
  </si>
  <si>
    <t>Sign on Bonus</t>
  </si>
  <si>
    <t>COGS</t>
  </si>
  <si>
    <t>Commute Time</t>
  </si>
  <si>
    <t>Commute Days per Week</t>
  </si>
  <si>
    <t>Override Monthly Rent</t>
  </si>
  <si>
    <t>Override Monthly Living Cost</t>
  </si>
  <si>
    <t>Discount Rate</t>
  </si>
  <si>
    <t>Actual Working Hours</t>
  </si>
  <si>
    <t>PTO Days</t>
  </si>
  <si>
    <t>Org Stability Score</t>
  </si>
  <si>
    <t>Team Culture Score</t>
  </si>
  <si>
    <t>Manage Support Score</t>
  </si>
  <si>
    <t>Utility Weight</t>
  </si>
  <si>
    <t>Financial</t>
  </si>
  <si>
    <t>WLB</t>
  </si>
  <si>
    <t>Company Vibe</t>
  </si>
  <si>
    <t>Luffy</t>
  </si>
  <si>
    <t>City/Town</t>
  </si>
  <si>
    <t>Yes/No</t>
  </si>
  <si>
    <t>$</t>
  </si>
  <si>
    <t>%</t>
  </si>
  <si>
    <t>$/Year</t>
  </si>
  <si>
    <t>$/Month</t>
  </si>
  <si>
    <t>Days/Week</t>
  </si>
  <si>
    <t>Hours/Day</t>
  </si>
  <si>
    <t>Hours/Week</t>
  </si>
  <si>
    <t>Days/Year</t>
  </si>
  <si>
    <t>1-5 Scale</t>
  </si>
  <si>
    <t>String</t>
  </si>
  <si>
    <t>Firm Tier and Level</t>
  </si>
  <si>
    <t>Tier</t>
  </si>
  <si>
    <t>Level</t>
  </si>
  <si>
    <t>Median TC</t>
  </si>
  <si>
    <t>Firm</t>
  </si>
  <si>
    <t>S</t>
  </si>
  <si>
    <t>Google</t>
  </si>
  <si>
    <t>Apple</t>
  </si>
  <si>
    <t>Nvidia</t>
  </si>
  <si>
    <t>OpenAI</t>
  </si>
  <si>
    <t>Meta</t>
  </si>
  <si>
    <t>Microsoft</t>
  </si>
  <si>
    <t>Amazon</t>
  </si>
  <si>
    <t>A</t>
  </si>
  <si>
    <t>AMD</t>
  </si>
  <si>
    <t>Netflix</t>
  </si>
  <si>
    <t>Strip</t>
  </si>
  <si>
    <t>Adobe</t>
  </si>
  <si>
    <t>LinkedIn</t>
  </si>
  <si>
    <t>PayPal</t>
  </si>
  <si>
    <t>Tesla</t>
  </si>
  <si>
    <t>Airbnb</t>
  </si>
  <si>
    <t>Uber</t>
  </si>
  <si>
    <t>ByteDance</t>
  </si>
  <si>
    <t>Salesforce</t>
  </si>
  <si>
    <t>Databricks</t>
  </si>
  <si>
    <t>Cisco</t>
  </si>
  <si>
    <t>Intel</t>
  </si>
  <si>
    <t>RenTech</t>
  </si>
  <si>
    <t>TGS</t>
  </si>
  <si>
    <t>PDT Partners</t>
  </si>
  <si>
    <t>Arrowstreet</t>
  </si>
  <si>
    <t>Citadel</t>
  </si>
  <si>
    <t>Point 72</t>
  </si>
  <si>
    <t>JaneStreet</t>
  </si>
  <si>
    <t>HRT</t>
  </si>
  <si>
    <t>jumptrading</t>
  </si>
  <si>
    <t>Ridgewate</t>
  </si>
  <si>
    <t>Optiver</t>
  </si>
  <si>
    <t>Two Sigma</t>
  </si>
  <si>
    <t>DE Shaw&amp;Co.</t>
  </si>
  <si>
    <t>Five Rings</t>
  </si>
  <si>
    <t>XTX</t>
  </si>
  <si>
    <t>imc</t>
  </si>
  <si>
    <t>Anthropic</t>
  </si>
  <si>
    <t>CitSec</t>
  </si>
  <si>
    <t>Bloomberg</t>
  </si>
  <si>
    <t>Coinbase</t>
  </si>
  <si>
    <t>Discord</t>
  </si>
  <si>
    <t>X</t>
  </si>
  <si>
    <t>DataDog</t>
  </si>
  <si>
    <t>DoorDash</t>
  </si>
  <si>
    <t>GitHub</t>
  </si>
  <si>
    <t>ebay</t>
  </si>
  <si>
    <t>B</t>
  </si>
  <si>
    <t>Entry (L3)</t>
  </si>
  <si>
    <t>Mid (L4)</t>
  </si>
  <si>
    <t>Principal (L7)</t>
  </si>
  <si>
    <t>Staff (L6)</t>
  </si>
  <si>
    <t>Senior (L5)</t>
  </si>
  <si>
    <t>Mapping Dictionary</t>
  </si>
  <si>
    <t>FirmLevel</t>
  </si>
  <si>
    <t>StardandLevel</t>
  </si>
  <si>
    <t>ZP1</t>
  </si>
  <si>
    <t>ZP2</t>
  </si>
  <si>
    <t>ZP3</t>
  </si>
  <si>
    <t>ZP4</t>
  </si>
  <si>
    <t>ZP5</t>
  </si>
  <si>
    <t xml:space="preserve">Meta </t>
  </si>
  <si>
    <t>E3</t>
  </si>
  <si>
    <t>E4</t>
  </si>
  <si>
    <t>E5</t>
  </si>
  <si>
    <t>E6</t>
  </si>
  <si>
    <t>E7</t>
  </si>
  <si>
    <t>ICT2</t>
  </si>
  <si>
    <t>ICT3</t>
  </si>
  <si>
    <t>ICT4</t>
  </si>
  <si>
    <t>ICT5</t>
  </si>
  <si>
    <t>ICT6</t>
  </si>
  <si>
    <t>Avg Rent</t>
  </si>
  <si>
    <t>Avg Living Cost</t>
  </si>
  <si>
    <t>Cost of Living (Per Month)</t>
  </si>
  <si>
    <t>Zip Code</t>
  </si>
  <si>
    <t>COLI Multiplier</t>
  </si>
  <si>
    <t>Bay Area Retention Rate</t>
  </si>
  <si>
    <t>Standard Weekly Hours</t>
  </si>
  <si>
    <t>Valuation Sheet</t>
  </si>
  <si>
    <t>Net TC</t>
  </si>
  <si>
    <t>Gross TC</t>
  </si>
  <si>
    <t>Standard Level</t>
  </si>
  <si>
    <t>Point 73</t>
  </si>
  <si>
    <t>Point 74</t>
  </si>
  <si>
    <t>Point 75</t>
  </si>
  <si>
    <t>Point 76</t>
  </si>
  <si>
    <t>Market Gross TC</t>
  </si>
  <si>
    <t>Annual Living Cost</t>
  </si>
  <si>
    <t>Living Location Zip Code</t>
  </si>
  <si>
    <t xml:space="preserve">Work Location Zip Code </t>
  </si>
  <si>
    <t>Weight Check</t>
  </si>
  <si>
    <t xml:space="preserve"> </t>
  </si>
  <si>
    <t>Annual Working days</t>
  </si>
  <si>
    <t>True Annual Working Hours</t>
  </si>
  <si>
    <t>Hourly Wage</t>
  </si>
  <si>
    <t>Hours</t>
  </si>
  <si>
    <t>Days</t>
  </si>
  <si>
    <t>$/Hour</t>
  </si>
  <si>
    <t>JobValue Index Model For Bay Area SWE</t>
  </si>
  <si>
    <t>Financial Score</t>
  </si>
  <si>
    <t>WLB Score</t>
  </si>
  <si>
    <t>Company Vibe Score</t>
  </si>
  <si>
    <t>Job Value Index</t>
  </si>
  <si>
    <t>Market Company Gross TC</t>
  </si>
  <si>
    <t>Best Working Hours</t>
  </si>
  <si>
    <t>Job Value Data</t>
  </si>
  <si>
    <t>JVI Index</t>
  </si>
  <si>
    <t>True Hourly Salary</t>
  </si>
  <si>
    <t>Tax</t>
  </si>
  <si>
    <t>Federal income tax rates</t>
  </si>
  <si>
    <t>Single</t>
  </si>
  <si>
    <t>From</t>
  </si>
  <si>
    <t>To</t>
  </si>
  <si>
    <t>Rate</t>
  </si>
  <si>
    <t>And Up</t>
  </si>
  <si>
    <t>Married filing jointly or qualifying surviving spouse</t>
  </si>
  <si>
    <t>Married filing separately</t>
  </si>
  <si>
    <t>Yes</t>
  </si>
  <si>
    <t>Tax Filling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</si>
</sst>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¥&quot;* #,##0.00_ ;_ &quot;¥&quot;* \-#,##0.00_ ;_ &quot;¥&quot;* &quot;-&quot;??_ ;_ @_ "/>
    <numFmt numFmtId="43" formatCode="_ * #,##0.00_ ;_ * \-#,##0.00_ ;_ * &quot;-&quot;??_ ;_ @_ "/>
    <numFmt numFmtId="168" formatCode="_-[$$-409]* #,##0.00_ ;_-[$$-409]* \-#,##0.00\ ;_-[$$-409]* &quot;-&quot;??_ ;_-@_ "/>
    <numFmt numFmtId="172" formatCode="[$$-409]#,##0.00"/>
  </numFmts>
  <fonts count="15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scheme val="minor"/>
    </font>
    <font>
      <sz val="10"/>
      <color rgb="FF000000"/>
      <name val="Arial Unicode MS"/>
      <family val="2"/>
    </font>
    <font>
      <sz val="12"/>
      <color theme="3" tint="0.249977111117893"/>
      <name val="Arial"/>
      <family val="2"/>
    </font>
    <font>
      <sz val="12"/>
      <color rgb="FF0A0A0A"/>
      <name val="Arial"/>
      <family val="2"/>
    </font>
    <font>
      <sz val="12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1B1B1B"/>
      <name val="Source Sans Pro"/>
      <family val="2"/>
    </font>
    <font>
      <sz val="12"/>
      <color rgb="FF1B1B1B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1" xfId="0" applyFont="1" applyBorder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left"/>
    </xf>
    <xf numFmtId="0" fontId="4" fillId="0" borderId="0" xfId="0" applyFont="1"/>
    <xf numFmtId="0" fontId="0" fillId="0" borderId="1" xfId="0" applyBorder="1"/>
    <xf numFmtId="0" fontId="0" fillId="0" borderId="0" xfId="0" applyAlignment="1">
      <alignment vertical="center"/>
    </xf>
    <xf numFmtId="0" fontId="7" fillId="0" borderId="0" xfId="0" applyFont="1"/>
    <xf numFmtId="0" fontId="6" fillId="2" borderId="2" xfId="0" applyFont="1" applyFill="1" applyBorder="1"/>
    <xf numFmtId="0" fontId="0" fillId="0" borderId="2" xfId="0" applyBorder="1"/>
    <xf numFmtId="0" fontId="9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0" fillId="0" borderId="0" xfId="0" applyAlignment="1">
      <alignment horizontal="right"/>
    </xf>
    <xf numFmtId="0" fontId="8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1" fillId="2" borderId="0" xfId="0" applyFont="1" applyFill="1" applyAlignment="1">
      <alignment horizontal="center"/>
    </xf>
    <xf numFmtId="0" fontId="12" fillId="0" borderId="0" xfId="0" applyFont="1"/>
    <xf numFmtId="0" fontId="0" fillId="0" borderId="0" xfId="0" applyAlignment="1"/>
    <xf numFmtId="172" fontId="13" fillId="0" borderId="0" xfId="0" applyNumberFormat="1" applyFont="1"/>
    <xf numFmtId="172" fontId="10" fillId="0" borderId="0" xfId="2" applyNumberFormat="1" applyFont="1"/>
    <xf numFmtId="172" fontId="10" fillId="0" borderId="0" xfId="1" applyNumberFormat="1" applyFont="1"/>
    <xf numFmtId="172" fontId="14" fillId="0" borderId="0" xfId="1" applyNumberFormat="1" applyFont="1"/>
    <xf numFmtId="172" fontId="14" fillId="0" borderId="0" xfId="0" applyNumberFormat="1" applyFont="1"/>
    <xf numFmtId="172" fontId="10" fillId="0" borderId="0" xfId="1" applyNumberFormat="1" applyFont="1" applyAlignment="1">
      <alignment horizontal="right"/>
    </xf>
    <xf numFmtId="172" fontId="10" fillId="0" borderId="0" xfId="0" applyNumberFormat="1" applyFont="1"/>
    <xf numFmtId="172" fontId="10" fillId="0" borderId="0" xfId="1" applyNumberFormat="1" applyFont="1" applyAlignment="1">
      <alignment horizontal="center"/>
    </xf>
    <xf numFmtId="172" fontId="10" fillId="0" borderId="0" xfId="1" applyNumberFormat="1" applyFont="1" applyAlignment="1">
      <alignment horizontal="center" wrapText="1"/>
    </xf>
    <xf numFmtId="168" fontId="14" fillId="0" borderId="0" xfId="2" applyNumberFormat="1" applyFont="1"/>
    <xf numFmtId="0" fontId="1" fillId="0" borderId="3" xfId="0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2"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B9B"/>
        </patternFill>
      </fill>
    </dxf>
  </dxfs>
  <tableStyles count="0" defaultTableStyle="TableStyleMedium2" defaultPivotStyle="PivotStyleLight16"/>
  <colors>
    <mruColors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Three-Dimensional JVI Matrix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1"/>
          <c:order val="1"/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cat>
            <c:strRef>
              <c:f>Valuation!$B$19:$B$21</c:f>
              <c:strCache>
                <c:ptCount val="3"/>
                <c:pt idx="0">
                  <c:v>Financial Score</c:v>
                </c:pt>
                <c:pt idx="1">
                  <c:v>WLB Score</c:v>
                </c:pt>
                <c:pt idx="2">
                  <c:v>Company Vibe Score</c:v>
                </c:pt>
              </c:strCache>
            </c:strRef>
          </c:cat>
          <c:val>
            <c:numRef>
              <c:f>Valuation!$D$19:$D$21</c:f>
              <c:numCache>
                <c:formatCode>General</c:formatCode>
                <c:ptCount val="3"/>
                <c:pt idx="0">
                  <c:v>91.328860703106713</c:v>
                </c:pt>
                <c:pt idx="1">
                  <c:v>83.776381504752692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0-476F-A608-2FF8E22F1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56400"/>
        <c:axId val="157358320"/>
        <c:extLst>
          <c:ext xmlns:c15="http://schemas.microsoft.com/office/drawing/2012/chart" uri="{02D57815-91ED-43cb-92C2-25804820EDAC}">
            <c15:filteredRadarSeries>
              <c15:ser>
                <c:idx val="0"/>
                <c:order val="0"/>
                <c:spPr>
                  <a:ln w="28575" cap="rnd">
                    <a:solidFill>
                      <a:schemeClr val="accent1">
                        <a:shade val="76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shade val="76000"/>
                      </a:schemeClr>
                    </a:solidFill>
                    <a:ln w="9525">
                      <a:solidFill>
                        <a:schemeClr val="accent1">
                          <a:shade val="76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Valuation!$B$19:$B$21</c15:sqref>
                        </c15:formulaRef>
                      </c:ext>
                    </c:extLst>
                    <c:strCache>
                      <c:ptCount val="3"/>
                      <c:pt idx="0">
                        <c:v>Financial Score</c:v>
                      </c:pt>
                      <c:pt idx="1">
                        <c:v>WLB Score</c:v>
                      </c:pt>
                      <c:pt idx="2">
                        <c:v>Company Vibe Score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Valuation!$C$19:$C$21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1D0-476F-A608-2FF8E22F142A}"/>
                  </c:ext>
                </c:extLst>
              </c15:ser>
            </c15:filteredRadarSeries>
          </c:ext>
        </c:extLst>
      </c:radarChart>
      <c:catAx>
        <c:axId val="15735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58320"/>
        <c:crosses val="autoZero"/>
        <c:auto val="1"/>
        <c:lblAlgn val="ctr"/>
        <c:lblOffset val="100"/>
        <c:noMultiLvlLbl val="0"/>
      </c:catAx>
      <c:valAx>
        <c:axId val="15735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5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175846</xdr:rowOff>
    </xdr:from>
    <xdr:to>
      <xdr:col>6</xdr:col>
      <xdr:colOff>36479</xdr:colOff>
      <xdr:row>29</xdr:row>
      <xdr:rowOff>139336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5924FE-3812-4CBE-B7FB-A9E3F6975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4F765-90C4-9549-843D-C47262716088}">
  <dimension ref="B1:E31"/>
  <sheetViews>
    <sheetView showGridLines="0" zoomScale="125" workbookViewId="0">
      <selection activeCell="E9" sqref="E9"/>
    </sheetView>
  </sheetViews>
  <sheetFormatPr defaultColWidth="10.875" defaultRowHeight="15"/>
  <cols>
    <col min="1" max="1" width="10.875" style="1"/>
    <col min="2" max="2" width="14.875" style="1" customWidth="1"/>
    <col min="3" max="3" width="27.375" style="1" customWidth="1"/>
    <col min="4" max="16384" width="10.875" style="1"/>
  </cols>
  <sheetData>
    <row r="1" spans="2:5" s="2" customFormat="1" ht="15.75">
      <c r="B1" s="21" t="s">
        <v>145</v>
      </c>
      <c r="C1" s="21"/>
      <c r="D1" s="3"/>
      <c r="E1" s="3"/>
    </row>
    <row r="3" spans="2:5" ht="15.75">
      <c r="B3" s="4" t="s">
        <v>0</v>
      </c>
      <c r="C3" s="5"/>
      <c r="D3" s="5"/>
      <c r="E3" s="5"/>
    </row>
    <row r="4" spans="2:5">
      <c r="B4" s="2"/>
      <c r="C4" s="2"/>
      <c r="D4" s="2"/>
      <c r="E4" s="14" t="s">
        <v>26</v>
      </c>
    </row>
    <row r="5" spans="2:5">
      <c r="B5" s="38" t="s">
        <v>1</v>
      </c>
      <c r="C5" s="6" t="s">
        <v>2</v>
      </c>
      <c r="D5" s="1" t="s">
        <v>38</v>
      </c>
      <c r="E5" s="15" t="s">
        <v>5</v>
      </c>
    </row>
    <row r="6" spans="2:5">
      <c r="B6" s="22"/>
      <c r="C6" s="6" t="s">
        <v>3</v>
      </c>
      <c r="D6" s="1" t="s">
        <v>38</v>
      </c>
      <c r="E6" s="15" t="s">
        <v>104</v>
      </c>
    </row>
    <row r="7" spans="2:5" ht="15.95" customHeight="1">
      <c r="B7" s="22"/>
      <c r="C7" s="6" t="s">
        <v>136</v>
      </c>
      <c r="D7" s="1" t="s">
        <v>27</v>
      </c>
      <c r="E7" s="15">
        <v>95113</v>
      </c>
    </row>
    <row r="8" spans="2:5">
      <c r="B8" s="22"/>
      <c r="C8" s="6" t="s">
        <v>4</v>
      </c>
      <c r="D8" s="1" t="s">
        <v>28</v>
      </c>
      <c r="E8" s="15" t="s">
        <v>164</v>
      </c>
    </row>
    <row r="9" spans="2:5">
      <c r="B9" s="22"/>
      <c r="C9" s="1" t="s">
        <v>165</v>
      </c>
      <c r="E9" s="15" t="s">
        <v>157</v>
      </c>
    </row>
    <row r="11" spans="2:5">
      <c r="B11" s="22" t="s">
        <v>8</v>
      </c>
      <c r="C11" s="1" t="s">
        <v>6</v>
      </c>
      <c r="D11" s="1" t="s">
        <v>31</v>
      </c>
      <c r="E11" s="15">
        <v>178000</v>
      </c>
    </row>
    <row r="12" spans="2:5">
      <c r="B12" s="22"/>
      <c r="C12" s="1" t="s">
        <v>7</v>
      </c>
      <c r="D12" s="1" t="s">
        <v>30</v>
      </c>
      <c r="E12" s="15">
        <v>15</v>
      </c>
    </row>
    <row r="13" spans="2:5">
      <c r="B13" s="22"/>
      <c r="C13" s="1" t="s">
        <v>9</v>
      </c>
      <c r="D13" s="1" t="s">
        <v>31</v>
      </c>
      <c r="E13" s="15">
        <v>20000</v>
      </c>
    </row>
    <row r="14" spans="2:5">
      <c r="B14" s="22"/>
      <c r="C14" s="1" t="s">
        <v>10</v>
      </c>
      <c r="D14" s="1" t="s">
        <v>29</v>
      </c>
      <c r="E14" s="15">
        <v>10000</v>
      </c>
    </row>
    <row r="15" spans="2:5" ht="15.95" customHeight="1">
      <c r="E15" s="15"/>
    </row>
    <row r="16" spans="2:5">
      <c r="B16" s="22" t="s">
        <v>11</v>
      </c>
      <c r="C16" s="1" t="s">
        <v>135</v>
      </c>
      <c r="D16" s="1" t="s">
        <v>121</v>
      </c>
      <c r="E16" s="15">
        <v>95014</v>
      </c>
    </row>
    <row r="17" spans="2:5">
      <c r="B17" s="22"/>
      <c r="C17" s="1" t="s">
        <v>14</v>
      </c>
      <c r="D17" s="1" t="s">
        <v>32</v>
      </c>
      <c r="E17" s="15">
        <v>3950</v>
      </c>
    </row>
    <row r="18" spans="2:5">
      <c r="B18" s="22"/>
      <c r="C18" s="1" t="s">
        <v>15</v>
      </c>
      <c r="D18" s="1" t="s">
        <v>32</v>
      </c>
      <c r="E18" s="15">
        <v>1700</v>
      </c>
    </row>
    <row r="19" spans="2:5">
      <c r="B19" s="22"/>
      <c r="C19" s="1" t="s">
        <v>13</v>
      </c>
      <c r="D19" s="1" t="s">
        <v>33</v>
      </c>
      <c r="E19" s="15">
        <v>4</v>
      </c>
    </row>
    <row r="20" spans="2:5">
      <c r="B20" s="22"/>
      <c r="C20" s="6" t="s">
        <v>12</v>
      </c>
      <c r="D20" s="1" t="s">
        <v>34</v>
      </c>
      <c r="E20" s="15">
        <v>0.8</v>
      </c>
    </row>
    <row r="21" spans="2:5">
      <c r="E21" s="15"/>
    </row>
    <row r="22" spans="2:5">
      <c r="B22" s="22" t="s">
        <v>16</v>
      </c>
      <c r="C22" s="1" t="s">
        <v>17</v>
      </c>
      <c r="D22" s="1" t="s">
        <v>35</v>
      </c>
      <c r="E22" s="19">
        <v>50</v>
      </c>
    </row>
    <row r="23" spans="2:5">
      <c r="B23" s="22"/>
      <c r="C23" s="1" t="s">
        <v>18</v>
      </c>
      <c r="D23" s="1" t="s">
        <v>36</v>
      </c>
      <c r="E23" s="15">
        <v>17</v>
      </c>
    </row>
    <row r="24" spans="2:5">
      <c r="B24" s="22"/>
      <c r="C24" s="1" t="s">
        <v>21</v>
      </c>
      <c r="D24" s="1" t="s">
        <v>37</v>
      </c>
      <c r="E24" s="15">
        <v>4</v>
      </c>
    </row>
    <row r="25" spans="2:5">
      <c r="B25" s="22"/>
      <c r="C25" s="1" t="s">
        <v>20</v>
      </c>
      <c r="D25" s="1" t="s">
        <v>37</v>
      </c>
      <c r="E25" s="15">
        <v>4</v>
      </c>
    </row>
    <row r="26" spans="2:5">
      <c r="B26" s="22"/>
      <c r="C26" s="1" t="s">
        <v>19</v>
      </c>
      <c r="D26" s="1" t="s">
        <v>37</v>
      </c>
      <c r="E26" s="15">
        <v>4</v>
      </c>
    </row>
    <row r="27" spans="2:5">
      <c r="E27" s="15"/>
    </row>
    <row r="28" spans="2:5">
      <c r="B28" s="22" t="s">
        <v>22</v>
      </c>
      <c r="C28" s="1" t="s">
        <v>23</v>
      </c>
      <c r="D28" s="1" t="s">
        <v>30</v>
      </c>
      <c r="E28" s="15">
        <v>50</v>
      </c>
    </row>
    <row r="29" spans="2:5">
      <c r="B29" s="22"/>
      <c r="C29" s="1" t="s">
        <v>24</v>
      </c>
      <c r="D29" s="1" t="s">
        <v>30</v>
      </c>
      <c r="E29" s="15">
        <v>40</v>
      </c>
    </row>
    <row r="30" spans="2:5">
      <c r="B30" s="22"/>
      <c r="C30" s="1" t="s">
        <v>25</v>
      </c>
      <c r="D30" s="1" t="s">
        <v>30</v>
      </c>
      <c r="E30" s="15">
        <v>10</v>
      </c>
    </row>
    <row r="31" spans="2:5" ht="15.75">
      <c r="B31" s="16" t="s">
        <v>137</v>
      </c>
      <c r="C31" s="17"/>
      <c r="D31" s="17"/>
      <c r="E31">
        <f>SUM(E28:E30)</f>
        <v>100</v>
      </c>
    </row>
  </sheetData>
  <mergeCells count="6">
    <mergeCell ref="B1:C1"/>
    <mergeCell ref="B28:B30"/>
    <mergeCell ref="B11:B14"/>
    <mergeCell ref="B16:B20"/>
    <mergeCell ref="B22:B26"/>
    <mergeCell ref="B5:B9"/>
  </mergeCells>
  <conditionalFormatting sqref="E31">
    <cfRule type="notContainsText" dxfId="1" priority="1" operator="notContains" text="100">
      <formula>ISERROR(SEARCH("100",E31))</formula>
    </cfRule>
    <cfRule type="containsText" dxfId="0" priority="3" operator="containsText" text="100">
      <formula>NOT(ISERROR(SEARCH("100",E31)))</formula>
    </cfRule>
  </conditionalFormatting>
  <dataValidations count="1">
    <dataValidation type="list" allowBlank="1" showInputMessage="1" showErrorMessage="1" sqref="E5" xr:uid="{EE235B81-21A5-4A39-8507-82B3785F4264}">
      <formula1>"Apple,Google,Nvidia,OpenAI,Meta,Microsoft,Amazon,Netflix,Airbnb,RenTech,TGS,PDTartners,Arrowstreet,Citadel,Bloomberg,LinkedIn,ByteDance,Salesforce,Databricks,Uber,Coinbase,Discord,DataDog,DoorDash,ebay,GitHub,Intel,Cisco,Adobe,PayPal,Tesla,X,Zoom"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InputMessage="1" showErrorMessage="1" xr:uid="{CCC8DC3C-5055-4BF4-A242-32EB4028C24D}">
          <x14:formula1>
            <xm:f>COUNTIFS(Market_Comps!J:J, $E$5, Market_Comps!K:K, $E$6)&gt;0</xm:f>
          </x14:formula1>
          <xm:sqref>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DBC4-5A50-AF4B-864B-4EBFFE84B498}">
  <dimension ref="B2:AB243"/>
  <sheetViews>
    <sheetView showGridLines="0" topLeftCell="E1" zoomScaleNormal="85" workbookViewId="0">
      <selection activeCell="AB6" sqref="AB6"/>
    </sheetView>
  </sheetViews>
  <sheetFormatPr defaultColWidth="11" defaultRowHeight="15.75"/>
  <cols>
    <col min="14" max="14" width="8.375" bestFit="1" customWidth="1"/>
    <col min="15" max="15" width="8" bestFit="1" customWidth="1"/>
    <col min="16" max="16" width="12.875" bestFit="1" customWidth="1"/>
    <col min="19" max="19" width="20.875" bestFit="1" customWidth="1"/>
    <col min="22" max="23" width="11.875" bestFit="1" customWidth="1"/>
  </cols>
  <sheetData>
    <row r="2" spans="2:28">
      <c r="B2" s="20" t="s">
        <v>39</v>
      </c>
      <c r="C2" s="20"/>
      <c r="D2" s="20"/>
      <c r="E2" s="20"/>
      <c r="F2" s="7"/>
      <c r="J2" s="20" t="s">
        <v>99</v>
      </c>
      <c r="K2" s="20"/>
      <c r="L2" s="20"/>
      <c r="N2" s="23" t="s">
        <v>120</v>
      </c>
      <c r="O2" s="23"/>
      <c r="P2" s="23"/>
      <c r="Q2" s="23"/>
      <c r="V2" s="20" t="s">
        <v>156</v>
      </c>
      <c r="W2" s="20"/>
      <c r="X2" s="20"/>
      <c r="Z2" s="20" t="s">
        <v>156</v>
      </c>
      <c r="AA2" s="20"/>
      <c r="AB2" s="20"/>
    </row>
    <row r="3" spans="2:28">
      <c r="B3" t="s">
        <v>40</v>
      </c>
      <c r="C3" t="s">
        <v>43</v>
      </c>
      <c r="D3" t="s">
        <v>41</v>
      </c>
      <c r="E3" t="s">
        <v>42</v>
      </c>
      <c r="J3" t="s">
        <v>43</v>
      </c>
      <c r="K3" t="s">
        <v>100</v>
      </c>
      <c r="L3" t="s">
        <v>101</v>
      </c>
      <c r="N3" t="s">
        <v>121</v>
      </c>
      <c r="O3" t="s">
        <v>118</v>
      </c>
      <c r="P3" t="s">
        <v>119</v>
      </c>
      <c r="Q3" t="s">
        <v>122</v>
      </c>
      <c r="V3" s="27" t="s">
        <v>158</v>
      </c>
      <c r="W3" s="27" t="s">
        <v>159</v>
      </c>
      <c r="X3" t="s">
        <v>160</v>
      </c>
      <c r="Z3" s="27" t="s">
        <v>158</v>
      </c>
      <c r="AA3" s="27" t="s">
        <v>159</v>
      </c>
      <c r="AB3" t="s">
        <v>160</v>
      </c>
    </row>
    <row r="4" spans="2:28">
      <c r="B4" s="9" t="s">
        <v>44</v>
      </c>
      <c r="C4" t="s">
        <v>46</v>
      </c>
      <c r="D4" t="s">
        <v>94</v>
      </c>
      <c r="E4">
        <v>183925</v>
      </c>
      <c r="J4" t="s">
        <v>5</v>
      </c>
      <c r="K4" t="s">
        <v>102</v>
      </c>
      <c r="L4" t="s">
        <v>94</v>
      </c>
      <c r="N4">
        <v>94301</v>
      </c>
      <c r="O4">
        <v>3600</v>
      </c>
      <c r="P4">
        <v>1500</v>
      </c>
      <c r="Q4" s="10">
        <v>1.2</v>
      </c>
      <c r="S4" s="11" t="s">
        <v>123</v>
      </c>
      <c r="T4" s="12">
        <v>0.62</v>
      </c>
      <c r="V4" s="24" t="s">
        <v>157</v>
      </c>
      <c r="W4" s="24"/>
      <c r="X4" s="24"/>
      <c r="Z4" s="24" t="s">
        <v>157</v>
      </c>
      <c r="AA4" s="24"/>
      <c r="AB4" s="24"/>
    </row>
    <row r="5" spans="2:28">
      <c r="B5" s="9" t="s">
        <v>44</v>
      </c>
      <c r="C5" t="s">
        <v>46</v>
      </c>
      <c r="D5" t="s">
        <v>95</v>
      </c>
      <c r="E5">
        <v>235361</v>
      </c>
      <c r="J5" t="s">
        <v>5</v>
      </c>
      <c r="K5" t="s">
        <v>103</v>
      </c>
      <c r="L5" t="s">
        <v>95</v>
      </c>
      <c r="N5">
        <v>94303</v>
      </c>
      <c r="O5">
        <v>3600</v>
      </c>
      <c r="P5">
        <v>1500</v>
      </c>
      <c r="Q5" s="10">
        <v>1.2</v>
      </c>
      <c r="S5" s="11" t="s">
        <v>124</v>
      </c>
      <c r="T5" s="12">
        <v>40</v>
      </c>
      <c r="V5" s="29">
        <v>0</v>
      </c>
      <c r="W5" s="30">
        <v>11925</v>
      </c>
      <c r="X5">
        <v>0.1</v>
      </c>
      <c r="Z5" s="29">
        <v>0</v>
      </c>
      <c r="AA5" s="30">
        <v>11079</v>
      </c>
      <c r="AB5">
        <v>0.01</v>
      </c>
    </row>
    <row r="6" spans="2:28">
      <c r="B6" s="9" t="s">
        <v>44</v>
      </c>
      <c r="C6" t="s">
        <v>46</v>
      </c>
      <c r="D6" t="s">
        <v>98</v>
      </c>
      <c r="E6">
        <v>343425</v>
      </c>
      <c r="J6" t="s">
        <v>5</v>
      </c>
      <c r="K6" t="s">
        <v>104</v>
      </c>
      <c r="L6" t="s">
        <v>98</v>
      </c>
      <c r="N6">
        <v>94304</v>
      </c>
      <c r="O6">
        <v>3600</v>
      </c>
      <c r="P6">
        <v>1500</v>
      </c>
      <c r="Q6" s="10">
        <v>1.2</v>
      </c>
      <c r="S6" s="11" t="s">
        <v>151</v>
      </c>
      <c r="T6" s="12">
        <v>2080</v>
      </c>
      <c r="V6" s="30">
        <v>11926</v>
      </c>
      <c r="W6" s="30">
        <v>48475</v>
      </c>
      <c r="X6">
        <v>0.12</v>
      </c>
      <c r="Z6" s="30">
        <v>11926</v>
      </c>
      <c r="AA6" s="30">
        <v>48475</v>
      </c>
      <c r="AB6">
        <v>0.12</v>
      </c>
    </row>
    <row r="7" spans="2:28">
      <c r="B7" s="9" t="s">
        <v>44</v>
      </c>
      <c r="C7" t="s">
        <v>46</v>
      </c>
      <c r="D7" t="s">
        <v>97</v>
      </c>
      <c r="E7">
        <v>582078</v>
      </c>
      <c r="J7" t="s">
        <v>5</v>
      </c>
      <c r="K7" t="s">
        <v>105</v>
      </c>
      <c r="L7" t="s">
        <v>97</v>
      </c>
      <c r="N7">
        <v>94305</v>
      </c>
      <c r="O7">
        <v>3600</v>
      </c>
      <c r="P7">
        <v>1500</v>
      </c>
      <c r="Q7" s="10">
        <v>1.2</v>
      </c>
      <c r="S7" s="11"/>
      <c r="V7" s="30">
        <v>48476</v>
      </c>
      <c r="W7" s="31">
        <v>103350</v>
      </c>
      <c r="X7">
        <v>0.22</v>
      </c>
      <c r="Z7" s="30">
        <v>48476</v>
      </c>
      <c r="AA7" s="31">
        <v>103350</v>
      </c>
      <c r="AB7">
        <v>0.22</v>
      </c>
    </row>
    <row r="8" spans="2:28">
      <c r="B8" s="9" t="s">
        <v>44</v>
      </c>
      <c r="C8" t="s">
        <v>46</v>
      </c>
      <c r="D8" t="s">
        <v>96</v>
      </c>
      <c r="E8">
        <v>795350</v>
      </c>
      <c r="J8" t="s">
        <v>5</v>
      </c>
      <c r="K8" t="s">
        <v>106</v>
      </c>
      <c r="L8" t="s">
        <v>96</v>
      </c>
      <c r="N8">
        <v>94306</v>
      </c>
      <c r="O8">
        <v>3600</v>
      </c>
      <c r="P8">
        <v>1500</v>
      </c>
      <c r="Q8" s="10">
        <v>1.2</v>
      </c>
      <c r="S8" s="11"/>
      <c r="V8" s="32">
        <v>103351</v>
      </c>
      <c r="W8" s="30">
        <v>197300</v>
      </c>
      <c r="X8">
        <v>0.24</v>
      </c>
      <c r="Z8" s="32">
        <v>103351</v>
      </c>
      <c r="AA8" s="30">
        <v>197300</v>
      </c>
      <c r="AB8">
        <v>0.24</v>
      </c>
    </row>
    <row r="9" spans="2:28">
      <c r="B9" s="9" t="s">
        <v>44</v>
      </c>
      <c r="C9" t="s">
        <v>45</v>
      </c>
      <c r="D9" t="s">
        <v>94</v>
      </c>
      <c r="E9">
        <v>202120</v>
      </c>
      <c r="J9" t="s">
        <v>107</v>
      </c>
      <c r="K9" t="s">
        <v>108</v>
      </c>
      <c r="L9" t="s">
        <v>94</v>
      </c>
      <c r="N9">
        <v>95014</v>
      </c>
      <c r="O9">
        <v>3600</v>
      </c>
      <c r="P9">
        <v>1500</v>
      </c>
      <c r="Q9" s="10">
        <v>1.2</v>
      </c>
      <c r="V9" s="32">
        <v>197301</v>
      </c>
      <c r="W9" s="32">
        <v>250525</v>
      </c>
      <c r="X9">
        <v>0.32</v>
      </c>
      <c r="Z9" s="32">
        <v>197301</v>
      </c>
      <c r="AA9" s="32">
        <v>250525</v>
      </c>
      <c r="AB9">
        <v>0.32</v>
      </c>
    </row>
    <row r="10" spans="2:28">
      <c r="B10" s="9" t="s">
        <v>44</v>
      </c>
      <c r="C10" t="s">
        <v>45</v>
      </c>
      <c r="D10" t="s">
        <v>95</v>
      </c>
      <c r="E10">
        <v>293510</v>
      </c>
      <c r="J10" t="s">
        <v>107</v>
      </c>
      <c r="K10" t="s">
        <v>109</v>
      </c>
      <c r="L10" t="s">
        <v>95</v>
      </c>
      <c r="N10">
        <v>95015</v>
      </c>
      <c r="O10">
        <v>3600</v>
      </c>
      <c r="P10">
        <v>1500</v>
      </c>
      <c r="Q10" s="10">
        <v>1.2</v>
      </c>
      <c r="V10" s="32">
        <v>250526</v>
      </c>
      <c r="W10" s="32">
        <v>626350</v>
      </c>
      <c r="X10">
        <v>0.35</v>
      </c>
      <c r="Z10" s="32">
        <v>250526</v>
      </c>
      <c r="AA10" s="32">
        <v>626350</v>
      </c>
      <c r="AB10">
        <v>0.35</v>
      </c>
    </row>
    <row r="11" spans="2:28">
      <c r="B11" s="9" t="s">
        <v>44</v>
      </c>
      <c r="C11" t="s">
        <v>45</v>
      </c>
      <c r="D11" t="s">
        <v>98</v>
      </c>
      <c r="E11">
        <v>420262</v>
      </c>
      <c r="J11" t="s">
        <v>107</v>
      </c>
      <c r="K11" t="s">
        <v>110</v>
      </c>
      <c r="L11" t="s">
        <v>98</v>
      </c>
      <c r="N11">
        <v>94040</v>
      </c>
      <c r="O11">
        <v>3540</v>
      </c>
      <c r="P11">
        <v>1500</v>
      </c>
      <c r="Q11" s="10">
        <v>1.2</v>
      </c>
      <c r="V11" s="32">
        <v>626351</v>
      </c>
      <c r="W11" s="33" t="s">
        <v>161</v>
      </c>
      <c r="X11">
        <v>0.37</v>
      </c>
      <c r="Z11" s="32">
        <v>626351</v>
      </c>
      <c r="AA11" s="33" t="s">
        <v>161</v>
      </c>
      <c r="AB11">
        <v>0.37</v>
      </c>
    </row>
    <row r="12" spans="2:28" ht="15.75" customHeight="1">
      <c r="B12" s="9" t="s">
        <v>44</v>
      </c>
      <c r="C12" t="s">
        <v>45</v>
      </c>
      <c r="D12" t="s">
        <v>97</v>
      </c>
      <c r="E12">
        <v>567197</v>
      </c>
      <c r="J12" t="s">
        <v>107</v>
      </c>
      <c r="K12" t="s">
        <v>111</v>
      </c>
      <c r="L12" t="s">
        <v>97</v>
      </c>
      <c r="N12">
        <v>94041</v>
      </c>
      <c r="O12">
        <v>3540</v>
      </c>
      <c r="P12">
        <v>1500</v>
      </c>
      <c r="Q12" s="10">
        <v>1.2</v>
      </c>
      <c r="V12" s="36" t="s">
        <v>162</v>
      </c>
      <c r="W12" s="36"/>
      <c r="X12" s="36"/>
      <c r="Z12" s="36" t="s">
        <v>162</v>
      </c>
      <c r="AA12" s="36"/>
      <c r="AB12" s="36"/>
    </row>
    <row r="13" spans="2:28">
      <c r="B13" s="9" t="s">
        <v>44</v>
      </c>
      <c r="C13" t="s">
        <v>45</v>
      </c>
      <c r="D13" t="s">
        <v>96</v>
      </c>
      <c r="E13">
        <v>900365</v>
      </c>
      <c r="J13" t="s">
        <v>107</v>
      </c>
      <c r="K13" t="s">
        <v>112</v>
      </c>
      <c r="L13" t="s">
        <v>96</v>
      </c>
      <c r="N13">
        <v>94043</v>
      </c>
      <c r="O13">
        <v>3540</v>
      </c>
      <c r="P13">
        <v>1500</v>
      </c>
      <c r="Q13" s="10">
        <v>1.2</v>
      </c>
      <c r="V13" s="36"/>
      <c r="W13" s="36"/>
      <c r="X13" s="36"/>
      <c r="Z13" s="36"/>
      <c r="AA13" s="36"/>
      <c r="AB13" s="36"/>
    </row>
    <row r="14" spans="2:28">
      <c r="B14" s="9" t="s">
        <v>44</v>
      </c>
      <c r="C14" t="s">
        <v>47</v>
      </c>
      <c r="D14" t="s">
        <v>94</v>
      </c>
      <c r="E14" cm="1">
        <f t="array" ref="E14">_xlfn.IFS(B14="S", 200000, B14="A", 160000, B14="B", 130000) * _xlfn.IFS(D14="Entry (L3)", 0.8, D14="Mid (L4)", 1, D14="Senior (L5)", 1.4, D14="Staff (L6)", 1.8, D14="Principal (L7)", 2.5)</f>
        <v>160000</v>
      </c>
      <c r="J14" t="s">
        <v>46</v>
      </c>
      <c r="K14" t="s">
        <v>113</v>
      </c>
      <c r="L14" t="s">
        <v>94</v>
      </c>
      <c r="N14">
        <v>94022</v>
      </c>
      <c r="O14">
        <v>3177</v>
      </c>
      <c r="P14">
        <v>1500</v>
      </c>
      <c r="Q14" s="10">
        <v>1.2</v>
      </c>
      <c r="V14" s="30">
        <v>0</v>
      </c>
      <c r="W14" s="28">
        <v>23850</v>
      </c>
      <c r="X14">
        <v>0.1</v>
      </c>
      <c r="Z14" s="30">
        <v>0</v>
      </c>
      <c r="AA14" s="28">
        <v>23850</v>
      </c>
      <c r="AB14">
        <v>0.1</v>
      </c>
    </row>
    <row r="15" spans="2:28">
      <c r="B15" s="9" t="s">
        <v>44</v>
      </c>
      <c r="C15" t="s">
        <v>47</v>
      </c>
      <c r="D15" t="s">
        <v>95</v>
      </c>
      <c r="E15" cm="1">
        <f t="array" ref="E15">_xlfn.IFS(B15="S", 200000, B15="A", 160000, B15="B", 130000) * _xlfn.IFS(D15="Entry (L3)", 0.8, D15="Mid (L4)", 1, D15="Senior (L5)", 1.4, D15="Staff (L6)", 1.8, D15="Principal (L7)", 2.5)</f>
        <v>200000</v>
      </c>
      <c r="J15" t="s">
        <v>46</v>
      </c>
      <c r="K15" t="s">
        <v>114</v>
      </c>
      <c r="L15" t="s">
        <v>95</v>
      </c>
      <c r="N15">
        <v>94024</v>
      </c>
      <c r="O15">
        <v>3177</v>
      </c>
      <c r="P15">
        <v>1500</v>
      </c>
      <c r="Q15" s="10">
        <v>1.2</v>
      </c>
      <c r="V15" s="28">
        <v>23851</v>
      </c>
      <c r="W15" s="28">
        <v>96950</v>
      </c>
      <c r="X15">
        <v>0.12</v>
      </c>
      <c r="Z15" s="28">
        <v>23851</v>
      </c>
      <c r="AA15" s="28">
        <v>96950</v>
      </c>
      <c r="AB15">
        <v>0.12</v>
      </c>
    </row>
    <row r="16" spans="2:28">
      <c r="B16" s="9" t="s">
        <v>44</v>
      </c>
      <c r="C16" t="s">
        <v>47</v>
      </c>
      <c r="D16" t="s">
        <v>98</v>
      </c>
      <c r="E16" cm="1">
        <f t="array" ref="E16">_xlfn.IFS(B16="S", 200000, B16="A", 160000, B16="B", 130000) * _xlfn.IFS(D16="Entry (L3)", 0.8, D16="Mid (L4)", 1, D16="Senior (L5)", 1.4, D16="Staff (L6)", 1.8, D16="Principal (L7)", 2.5)</f>
        <v>280000</v>
      </c>
      <c r="J16" t="s">
        <v>46</v>
      </c>
      <c r="K16" t="s">
        <v>115</v>
      </c>
      <c r="L16" t="s">
        <v>98</v>
      </c>
      <c r="N16">
        <v>94085</v>
      </c>
      <c r="O16">
        <v>2616</v>
      </c>
      <c r="P16">
        <v>1500</v>
      </c>
      <c r="Q16" s="10">
        <v>1.1000000000000001</v>
      </c>
      <c r="V16" s="28">
        <v>96951</v>
      </c>
      <c r="W16" s="28">
        <v>206700</v>
      </c>
      <c r="X16">
        <v>0.22</v>
      </c>
      <c r="Z16" s="28">
        <v>96951</v>
      </c>
      <c r="AA16" s="28">
        <v>206700</v>
      </c>
      <c r="AB16">
        <v>0.22</v>
      </c>
    </row>
    <row r="17" spans="2:28">
      <c r="B17" s="9" t="s">
        <v>44</v>
      </c>
      <c r="C17" t="s">
        <v>47</v>
      </c>
      <c r="D17" t="s">
        <v>97</v>
      </c>
      <c r="E17" cm="1">
        <f t="array" ref="E17">_xlfn.IFS(B17="S", 200000, B17="A", 160000, B17="B", 130000) * _xlfn.IFS(D17="Entry (L3)", 0.8, D17="Mid (L4)", 1, D17="Senior (L5)", 1.4, D17="Staff (L6)", 1.8, D17="Principal (L7)", 2.5)</f>
        <v>360000</v>
      </c>
      <c r="J17" t="s">
        <v>46</v>
      </c>
      <c r="K17" t="s">
        <v>116</v>
      </c>
      <c r="L17" t="s">
        <v>97</v>
      </c>
      <c r="N17">
        <v>94086</v>
      </c>
      <c r="O17">
        <v>2616</v>
      </c>
      <c r="P17">
        <v>1500</v>
      </c>
      <c r="Q17" s="10">
        <v>1.1000000000000001</v>
      </c>
      <c r="V17" s="28">
        <v>206701</v>
      </c>
      <c r="W17" s="28">
        <v>394600</v>
      </c>
      <c r="X17">
        <v>0.24</v>
      </c>
      <c r="Z17" s="28">
        <v>206701</v>
      </c>
      <c r="AA17" s="28">
        <v>394600</v>
      </c>
      <c r="AB17">
        <v>0.24</v>
      </c>
    </row>
    <row r="18" spans="2:28">
      <c r="B18" s="9" t="s">
        <v>44</v>
      </c>
      <c r="C18" t="s">
        <v>47</v>
      </c>
      <c r="D18" t="s">
        <v>96</v>
      </c>
      <c r="E18" cm="1">
        <f t="array" ref="E18">_xlfn.IFS(B18="S", 200000, B18="A", 160000, B18="B", 130000) * _xlfn.IFS(D18="Entry (L3)", 0.8, D18="Mid (L4)", 1, D18="Senior (L5)", 1.4, D18="Staff (L6)", 1.8, D18="Principal (L7)", 2.5)</f>
        <v>500000</v>
      </c>
      <c r="J18" t="s">
        <v>46</v>
      </c>
      <c r="K18" t="s">
        <v>117</v>
      </c>
      <c r="L18" t="s">
        <v>96</v>
      </c>
      <c r="N18">
        <v>94087</v>
      </c>
      <c r="O18">
        <v>2616</v>
      </c>
      <c r="P18">
        <v>1500</v>
      </c>
      <c r="Q18" s="10">
        <v>1.1000000000000001</v>
      </c>
      <c r="V18" s="28">
        <v>394601</v>
      </c>
      <c r="W18" s="28">
        <v>501050</v>
      </c>
      <c r="X18">
        <v>0.32</v>
      </c>
      <c r="Z18" s="28">
        <v>394601</v>
      </c>
      <c r="AA18" s="28">
        <v>501050</v>
      </c>
      <c r="AB18">
        <v>0.32</v>
      </c>
    </row>
    <row r="19" spans="2:28">
      <c r="B19" s="9" t="s">
        <v>44</v>
      </c>
      <c r="C19" t="s">
        <v>48</v>
      </c>
      <c r="D19" t="s">
        <v>94</v>
      </c>
      <c r="E19" cm="1">
        <f t="array" ref="E19">_xlfn.IFS(B19="S", 200000, B19="A", 160000, B19="B", 130000) * _xlfn.IFS(D19="Entry (L3)", 0.8, D19="Mid (L4)", 1, D19="Senior (L5)", 1.4, D19="Staff (L6)", 1.8, D19="Principal (L7)", 2.5)</f>
        <v>160000</v>
      </c>
      <c r="N19">
        <v>94089</v>
      </c>
      <c r="O19">
        <v>2616</v>
      </c>
      <c r="P19">
        <v>1500</v>
      </c>
      <c r="Q19" s="10">
        <v>1.1000000000000001</v>
      </c>
      <c r="V19" s="28">
        <v>501051</v>
      </c>
      <c r="W19" s="28">
        <v>751600</v>
      </c>
      <c r="X19">
        <v>0.35</v>
      </c>
      <c r="Z19" s="28">
        <v>501051</v>
      </c>
      <c r="AA19" s="28">
        <v>751600</v>
      </c>
      <c r="AB19">
        <v>0.35</v>
      </c>
    </row>
    <row r="20" spans="2:28">
      <c r="B20" s="9" t="s">
        <v>44</v>
      </c>
      <c r="C20" t="s">
        <v>48</v>
      </c>
      <c r="D20" t="s">
        <v>95</v>
      </c>
      <c r="E20" cm="1">
        <f t="array" ref="E20">_xlfn.IFS(B20="S", 200000, B20="A", 160000, B20="B", 130000) * _xlfn.IFS(D20="Entry (L3)", 0.8, D20="Mid (L4)", 1, D20="Senior (L5)", 1.4, D20="Staff (L6)", 1.8, D20="Principal (L7)", 2.5)</f>
        <v>200000</v>
      </c>
      <c r="N20">
        <v>95050</v>
      </c>
      <c r="O20">
        <v>3300</v>
      </c>
      <c r="P20">
        <v>1500</v>
      </c>
      <c r="Q20" s="10">
        <v>1.1000000000000001</v>
      </c>
      <c r="V20" s="28">
        <v>751601</v>
      </c>
      <c r="W20" s="33" t="s">
        <v>161</v>
      </c>
      <c r="X20">
        <v>0.37</v>
      </c>
      <c r="Z20" s="28">
        <v>751601</v>
      </c>
      <c r="AA20" s="33" t="s">
        <v>161</v>
      </c>
      <c r="AB20">
        <v>0.37</v>
      </c>
    </row>
    <row r="21" spans="2:28">
      <c r="B21" s="9" t="s">
        <v>44</v>
      </c>
      <c r="C21" t="s">
        <v>48</v>
      </c>
      <c r="D21" t="s">
        <v>98</v>
      </c>
      <c r="E21" cm="1">
        <f t="array" ref="E21">_xlfn.IFS(B21="S", 200000, B21="A", 160000, B21="B", 130000) * _xlfn.IFS(D21="Entry (L3)", 0.8, D21="Mid (L4)", 1, D21="Senior (L5)", 1.4, D21="Staff (L6)", 1.8, D21="Principal (L7)", 2.5)</f>
        <v>280000</v>
      </c>
      <c r="N21">
        <v>95051</v>
      </c>
      <c r="O21">
        <v>3300</v>
      </c>
      <c r="P21">
        <v>1500</v>
      </c>
      <c r="Q21" s="10">
        <v>1.1000000000000001</v>
      </c>
      <c r="V21" s="35" t="s">
        <v>163</v>
      </c>
      <c r="W21" s="35"/>
      <c r="X21" s="35"/>
      <c r="Z21" s="35" t="s">
        <v>163</v>
      </c>
      <c r="AA21" s="35"/>
      <c r="AB21" s="35"/>
    </row>
    <row r="22" spans="2:28">
      <c r="B22" s="9" t="s">
        <v>44</v>
      </c>
      <c r="C22" t="s">
        <v>48</v>
      </c>
      <c r="D22" t="s">
        <v>97</v>
      </c>
      <c r="E22" cm="1">
        <f t="array" ref="E22">_xlfn.IFS(B22="S", 200000, B22="A", 160000, B22="B", 130000) * _xlfn.IFS(D22="Entry (L3)", 0.8, D22="Mid (L4)", 1, D22="Senior (L5)", 1.4, D22="Staff (L6)", 1.8, D22="Principal (L7)", 2.5)</f>
        <v>360000</v>
      </c>
      <c r="N22">
        <v>95054</v>
      </c>
      <c r="O22">
        <v>3300</v>
      </c>
      <c r="P22">
        <v>1500</v>
      </c>
      <c r="Q22" s="10">
        <v>1.1000000000000001</v>
      </c>
      <c r="V22" s="29">
        <v>0</v>
      </c>
      <c r="W22" s="30">
        <v>11925</v>
      </c>
      <c r="X22">
        <v>0.1</v>
      </c>
      <c r="Z22" s="29">
        <v>0</v>
      </c>
      <c r="AA22" s="30">
        <v>11925</v>
      </c>
      <c r="AB22">
        <v>0.1</v>
      </c>
    </row>
    <row r="23" spans="2:28">
      <c r="B23" s="9" t="s">
        <v>44</v>
      </c>
      <c r="C23" t="s">
        <v>48</v>
      </c>
      <c r="D23" t="s">
        <v>96</v>
      </c>
      <c r="E23" cm="1">
        <f t="array" ref="E23">_xlfn.IFS(B23="S", 200000, B23="A", 160000, B23="B", 130000) * _xlfn.IFS(D23="Entry (L3)", 0.8, D23="Mid (L4)", 1, D23="Senior (L5)", 1.4, D23="Staff (L6)", 1.8, D23="Principal (L7)", 2.5)</f>
        <v>500000</v>
      </c>
      <c r="N23">
        <v>95002</v>
      </c>
      <c r="O23">
        <v>2700</v>
      </c>
      <c r="P23">
        <v>1500</v>
      </c>
      <c r="Q23" s="10">
        <v>0.9</v>
      </c>
      <c r="V23" s="30">
        <v>11926</v>
      </c>
      <c r="W23" s="30">
        <v>48475</v>
      </c>
      <c r="X23">
        <v>0.12</v>
      </c>
      <c r="Z23" s="30">
        <v>11926</v>
      </c>
      <c r="AA23" s="30">
        <v>48475</v>
      </c>
      <c r="AB23">
        <v>0.12</v>
      </c>
    </row>
    <row r="24" spans="2:28">
      <c r="B24" s="9" t="s">
        <v>44</v>
      </c>
      <c r="C24" t="s">
        <v>49</v>
      </c>
      <c r="D24" t="s">
        <v>94</v>
      </c>
      <c r="E24">
        <v>190591</v>
      </c>
      <c r="N24">
        <v>95110</v>
      </c>
      <c r="O24">
        <v>2700</v>
      </c>
      <c r="P24">
        <v>1500</v>
      </c>
      <c r="Q24" s="10">
        <v>0.9</v>
      </c>
      <c r="V24" s="30">
        <v>48476</v>
      </c>
      <c r="W24" s="31">
        <v>103350</v>
      </c>
      <c r="X24">
        <v>0.22</v>
      </c>
      <c r="Z24" s="30">
        <v>48476</v>
      </c>
      <c r="AA24" s="31">
        <v>103350</v>
      </c>
      <c r="AB24">
        <v>0.22</v>
      </c>
    </row>
    <row r="25" spans="2:28">
      <c r="B25" s="9" t="s">
        <v>44</v>
      </c>
      <c r="C25" t="s">
        <v>49</v>
      </c>
      <c r="D25" t="s">
        <v>95</v>
      </c>
      <c r="E25">
        <v>325659</v>
      </c>
      <c r="N25">
        <v>95117</v>
      </c>
      <c r="O25">
        <v>2700</v>
      </c>
      <c r="P25">
        <v>1500</v>
      </c>
      <c r="Q25" s="10">
        <v>0.9</v>
      </c>
      <c r="V25" s="32">
        <v>103351</v>
      </c>
      <c r="W25" s="30">
        <v>197300</v>
      </c>
      <c r="X25">
        <v>0.24</v>
      </c>
      <c r="Z25" s="32">
        <v>103351</v>
      </c>
      <c r="AA25" s="30">
        <v>197300</v>
      </c>
      <c r="AB25">
        <v>0.24</v>
      </c>
    </row>
    <row r="26" spans="2:28">
      <c r="B26" s="9" t="s">
        <v>44</v>
      </c>
      <c r="C26" t="s">
        <v>49</v>
      </c>
      <c r="D26" t="s">
        <v>98</v>
      </c>
      <c r="E26">
        <v>467175</v>
      </c>
      <c r="N26">
        <v>95126</v>
      </c>
      <c r="O26">
        <v>2700</v>
      </c>
      <c r="P26">
        <v>1500</v>
      </c>
      <c r="Q26" s="10">
        <v>0.9</v>
      </c>
      <c r="V26" s="32">
        <v>197301</v>
      </c>
      <c r="W26" s="32">
        <v>250525</v>
      </c>
      <c r="X26">
        <v>0.32</v>
      </c>
      <c r="Z26" s="32">
        <v>197301</v>
      </c>
      <c r="AA26" s="32">
        <v>250525</v>
      </c>
      <c r="AB26">
        <v>0.32</v>
      </c>
    </row>
    <row r="27" spans="2:28">
      <c r="B27" s="9" t="s">
        <v>44</v>
      </c>
      <c r="C27" t="s">
        <v>49</v>
      </c>
      <c r="D27" t="s">
        <v>97</v>
      </c>
      <c r="E27">
        <v>792310</v>
      </c>
      <c r="N27">
        <v>95128</v>
      </c>
      <c r="O27">
        <v>2700</v>
      </c>
      <c r="P27">
        <v>1500</v>
      </c>
      <c r="Q27" s="10">
        <v>0.9</v>
      </c>
      <c r="V27" s="32">
        <v>250526</v>
      </c>
      <c r="W27" s="32">
        <v>375800</v>
      </c>
      <c r="X27">
        <v>0.35</v>
      </c>
      <c r="Z27" s="32">
        <v>250526</v>
      </c>
      <c r="AA27" s="32">
        <v>375800</v>
      </c>
      <c r="AB27">
        <v>0.35</v>
      </c>
    </row>
    <row r="28" spans="2:28">
      <c r="B28" s="9" t="s">
        <v>44</v>
      </c>
      <c r="C28" t="s">
        <v>49</v>
      </c>
      <c r="D28" t="s">
        <v>96</v>
      </c>
      <c r="E28">
        <v>1449584</v>
      </c>
      <c r="N28">
        <v>95129</v>
      </c>
      <c r="O28">
        <v>2700</v>
      </c>
      <c r="P28">
        <v>1500</v>
      </c>
      <c r="Q28" s="10">
        <v>0.9</v>
      </c>
      <c r="V28" s="37">
        <v>375801</v>
      </c>
      <c r="W28" s="33" t="s">
        <v>161</v>
      </c>
      <c r="X28">
        <v>0.37</v>
      </c>
      <c r="Z28" s="37">
        <v>375801</v>
      </c>
      <c r="AA28" s="33" t="s">
        <v>161</v>
      </c>
      <c r="AB28">
        <v>0.37</v>
      </c>
    </row>
    <row r="29" spans="2:28">
      <c r="B29" s="9" t="s">
        <v>44</v>
      </c>
      <c r="C29" t="s">
        <v>50</v>
      </c>
      <c r="D29" t="s">
        <v>94</v>
      </c>
      <c r="E29" cm="1">
        <f t="array" ref="E29">_xlfn.IFS(B29="S", 200000, B29="A", 160000, B29="B", 130000) * _xlfn.IFS(D29="Entry (L3)", 0.8, D29="Mid (L4)", 1, D29="Senior (L5)", 1.4, D29="Staff (L6)", 1.8, D29="Principal (L7)", 2.5)</f>
        <v>160000</v>
      </c>
      <c r="N29">
        <v>95130</v>
      </c>
      <c r="O29">
        <v>2700</v>
      </c>
      <c r="P29">
        <v>1500</v>
      </c>
      <c r="Q29" s="10">
        <v>0.9</v>
      </c>
      <c r="V29" s="30"/>
      <c r="W29" s="30"/>
    </row>
    <row r="30" spans="2:28">
      <c r="B30" s="9" t="s">
        <v>44</v>
      </c>
      <c r="C30" t="s">
        <v>50</v>
      </c>
      <c r="D30" t="s">
        <v>95</v>
      </c>
      <c r="E30" cm="1">
        <f t="array" ref="E30">_xlfn.IFS(B30="S", 200000, B30="A", 160000, B30="B", 130000) * _xlfn.IFS(D30="Entry (L3)", 0.8, D30="Mid (L4)", 1, D30="Senior (L5)", 1.4, D30="Staff (L6)", 1.8, D30="Principal (L7)", 2.5)</f>
        <v>200000</v>
      </c>
      <c r="N30">
        <v>95131</v>
      </c>
      <c r="O30">
        <v>2700</v>
      </c>
      <c r="P30">
        <v>1500</v>
      </c>
      <c r="Q30" s="10">
        <v>0.9</v>
      </c>
      <c r="V30" s="30"/>
      <c r="W30" s="30"/>
    </row>
    <row r="31" spans="2:28">
      <c r="B31" s="9" t="s">
        <v>44</v>
      </c>
      <c r="C31" t="s">
        <v>50</v>
      </c>
      <c r="D31" t="s">
        <v>98</v>
      </c>
      <c r="E31" cm="1">
        <f t="array" ref="E31">_xlfn.IFS(B31="S", 200000, B31="A", 160000, B31="B", 130000) * _xlfn.IFS(D31="Entry (L3)", 0.8, D31="Mid (L4)", 1, D31="Senior (L5)", 1.4, D31="Staff (L6)", 1.8, D31="Principal (L7)", 2.5)</f>
        <v>280000</v>
      </c>
      <c r="N31">
        <v>95132</v>
      </c>
      <c r="O31">
        <v>2700</v>
      </c>
      <c r="P31">
        <v>1500</v>
      </c>
      <c r="Q31" s="10">
        <v>0.9</v>
      </c>
      <c r="V31" s="30"/>
      <c r="W31" s="30"/>
    </row>
    <row r="32" spans="2:28">
      <c r="B32" s="9" t="s">
        <v>44</v>
      </c>
      <c r="C32" t="s">
        <v>50</v>
      </c>
      <c r="D32" t="s">
        <v>97</v>
      </c>
      <c r="E32" cm="1">
        <f t="array" ref="E32">_xlfn.IFS(B32="S", 200000, B32="A", 160000, B32="B", 130000) * _xlfn.IFS(D32="Entry (L3)", 0.8, D32="Mid (L4)", 1, D32="Senior (L5)", 1.4, D32="Staff (L6)", 1.8, D32="Principal (L7)", 2.5)</f>
        <v>360000</v>
      </c>
      <c r="N32">
        <v>95133</v>
      </c>
      <c r="O32">
        <v>2700</v>
      </c>
      <c r="P32">
        <v>1500</v>
      </c>
      <c r="Q32" s="10">
        <v>0.9</v>
      </c>
      <c r="V32" s="30"/>
      <c r="W32" s="30"/>
    </row>
    <row r="33" spans="2:23">
      <c r="B33" s="9" t="s">
        <v>44</v>
      </c>
      <c r="C33" t="s">
        <v>50</v>
      </c>
      <c r="D33" t="s">
        <v>96</v>
      </c>
      <c r="E33" cm="1">
        <f t="array" ref="E33">_xlfn.IFS(B33="S", 200000, B33="A", 160000, B33="B", 130000) * _xlfn.IFS(D33="Entry (L3)", 0.8, D33="Mid (L4)", 1, D33="Senior (L5)", 1.4, D33="Staff (L6)", 1.8, D33="Principal (L7)", 2.5)</f>
        <v>500000</v>
      </c>
      <c r="N33">
        <v>95134</v>
      </c>
      <c r="O33">
        <v>2700</v>
      </c>
      <c r="P33">
        <v>1500</v>
      </c>
      <c r="Q33" s="10">
        <v>0.9</v>
      </c>
      <c r="V33" s="30"/>
      <c r="W33" s="30"/>
    </row>
    <row r="34" spans="2:23">
      <c r="B34" s="9" t="s">
        <v>44</v>
      </c>
      <c r="C34" t="s">
        <v>51</v>
      </c>
      <c r="D34" t="s">
        <v>94</v>
      </c>
      <c r="E34" cm="1">
        <f t="array" ref="E34">_xlfn.IFS(B34="S", 200000, B34="A", 160000, B34="B", 130000) * _xlfn.IFS(D34="Entry (L3)", 0.8, D34="Mid (L4)", 1, D34="Senior (L5)", 1.4, D34="Staff (L6)", 1.8, D34="Principal (L7)", 2.5)</f>
        <v>160000</v>
      </c>
      <c r="N34">
        <v>95035</v>
      </c>
      <c r="O34">
        <v>3000</v>
      </c>
      <c r="P34">
        <v>1500</v>
      </c>
      <c r="Q34" s="10">
        <v>0.9</v>
      </c>
      <c r="V34" s="30"/>
      <c r="W34" s="30"/>
    </row>
    <row r="35" spans="2:23">
      <c r="B35" s="9" t="s">
        <v>44</v>
      </c>
      <c r="C35" t="s">
        <v>51</v>
      </c>
      <c r="D35" t="s">
        <v>95</v>
      </c>
      <c r="E35" cm="1">
        <f t="array" ref="E35">_xlfn.IFS(B35="S", 200000, B35="A", 160000, B35="B", 130000) * _xlfn.IFS(D35="Entry (L3)", 0.8, D35="Mid (L4)", 1, D35="Senior (L5)", 1.4, D35="Staff (L6)", 1.8, D35="Principal (L7)", 2.5)</f>
        <v>200000</v>
      </c>
      <c r="N35">
        <v>95036</v>
      </c>
      <c r="O35">
        <v>3000</v>
      </c>
      <c r="P35">
        <v>1500</v>
      </c>
      <c r="Q35" s="10">
        <v>0.9</v>
      </c>
      <c r="V35" s="30"/>
      <c r="W35" s="30"/>
    </row>
    <row r="36" spans="2:23">
      <c r="B36" s="9" t="s">
        <v>44</v>
      </c>
      <c r="C36" t="s">
        <v>51</v>
      </c>
      <c r="D36" t="s">
        <v>98</v>
      </c>
      <c r="E36" cm="1">
        <f t="array" ref="E36">_xlfn.IFS(B36="S", 200000, B36="A", 160000, B36="B", 130000) * _xlfn.IFS(D36="Entry (L3)", 0.8, D36="Mid (L4)", 1, D36="Senior (L5)", 1.4, D36="Staff (L6)", 1.8, D36="Principal (L7)", 2.5)</f>
        <v>280000</v>
      </c>
      <c r="V36" s="30"/>
      <c r="W36" s="30"/>
    </row>
    <row r="37" spans="2:23">
      <c r="B37" s="9" t="s">
        <v>44</v>
      </c>
      <c r="C37" t="s">
        <v>51</v>
      </c>
      <c r="D37" t="s">
        <v>97</v>
      </c>
      <c r="E37" cm="1">
        <f t="array" ref="E37">_xlfn.IFS(B37="S", 200000, B37="A", 160000, B37="B", 130000) * _xlfn.IFS(D37="Entry (L3)", 0.8, D37="Mid (L4)", 1, D37="Senior (L5)", 1.4, D37="Staff (L6)", 1.8, D37="Principal (L7)", 2.5)</f>
        <v>360000</v>
      </c>
      <c r="V37" s="30"/>
      <c r="W37" s="30"/>
    </row>
    <row r="38" spans="2:23">
      <c r="B38" s="9" t="s">
        <v>44</v>
      </c>
      <c r="C38" t="s">
        <v>51</v>
      </c>
      <c r="D38" t="s">
        <v>96</v>
      </c>
      <c r="E38" cm="1">
        <f t="array" ref="E38">_xlfn.IFS(B38="S", 200000, B38="A", 160000, B38="B", 130000) * _xlfn.IFS(D38="Entry (L3)", 0.8, D38="Mid (L4)", 1, D38="Senior (L5)", 1.4, D38="Staff (L6)", 1.8, D38="Principal (L7)", 2.5)</f>
        <v>500000</v>
      </c>
      <c r="V38" s="30"/>
      <c r="W38" s="30"/>
    </row>
    <row r="39" spans="2:23">
      <c r="B39" s="9" t="s">
        <v>44</v>
      </c>
      <c r="C39" t="s">
        <v>54</v>
      </c>
      <c r="D39" t="s">
        <v>94</v>
      </c>
      <c r="E39" cm="1">
        <f t="array" ref="E39">_xlfn.IFS(B39="S", 200000, B39="A", 160000, B39="B", 130000) * _xlfn.IFS(D39="Entry (L3)", 0.8, D39="Mid (L4)", 1, D39="Senior (L5)", 1.4, D39="Staff (L6)", 1.8, D39="Principal (L7)", 2.5)</f>
        <v>160000</v>
      </c>
      <c r="V39" s="30"/>
      <c r="W39" s="30"/>
    </row>
    <row r="40" spans="2:23">
      <c r="B40" s="9" t="s">
        <v>44</v>
      </c>
      <c r="C40" t="s">
        <v>54</v>
      </c>
      <c r="D40" t="s">
        <v>95</v>
      </c>
      <c r="E40" cm="1">
        <f t="array" ref="E40">_xlfn.IFS(B40="S", 200000, B40="A", 160000, B40="B", 130000) * _xlfn.IFS(D40="Entry (L3)", 0.8, D40="Mid (L4)", 1, D40="Senior (L5)", 1.4, D40="Staff (L6)", 1.8, D40="Principal (L7)", 2.5)</f>
        <v>200000</v>
      </c>
      <c r="V40" s="30"/>
      <c r="W40" s="30"/>
    </row>
    <row r="41" spans="2:23">
      <c r="B41" s="9" t="s">
        <v>44</v>
      </c>
      <c r="C41" t="s">
        <v>54</v>
      </c>
      <c r="D41" t="s">
        <v>98</v>
      </c>
      <c r="E41" cm="1">
        <f t="array" ref="E41">_xlfn.IFS(B41="S", 200000, B41="A", 160000, B41="B", 130000) * _xlfn.IFS(D41="Entry (L3)", 0.8, D41="Mid (L4)", 1, D41="Senior (L5)", 1.4, D41="Staff (L6)", 1.8, D41="Principal (L7)", 2.5)</f>
        <v>280000</v>
      </c>
      <c r="V41" s="30"/>
      <c r="W41" s="30"/>
    </row>
    <row r="42" spans="2:23">
      <c r="B42" s="9" t="s">
        <v>44</v>
      </c>
      <c r="C42" t="s">
        <v>54</v>
      </c>
      <c r="D42" t="s">
        <v>97</v>
      </c>
      <c r="E42" cm="1">
        <f t="array" ref="E42">_xlfn.IFS(B42="S", 200000, B42="A", 160000, B42="B", 130000) * _xlfn.IFS(D42="Entry (L3)", 0.8, D42="Mid (L4)", 1, D42="Senior (L5)", 1.4, D42="Staff (L6)", 1.8, D42="Principal (L7)", 2.5)</f>
        <v>360000</v>
      </c>
      <c r="V42" s="30"/>
      <c r="W42" s="30"/>
    </row>
    <row r="43" spans="2:23">
      <c r="B43" s="9" t="s">
        <v>44</v>
      </c>
      <c r="C43" t="s">
        <v>54</v>
      </c>
      <c r="D43" t="s">
        <v>96</v>
      </c>
      <c r="E43" cm="1">
        <f t="array" ref="E43">_xlfn.IFS(B43="S", 200000, B43="A", 160000, B43="B", 130000) * _xlfn.IFS(D43="Entry (L3)", 0.8, D43="Mid (L4)", 1, D43="Senior (L5)", 1.4, D43="Staff (L6)", 1.8, D43="Principal (L7)", 2.5)</f>
        <v>500000</v>
      </c>
      <c r="V43" s="30"/>
      <c r="W43" s="30"/>
    </row>
    <row r="44" spans="2:23">
      <c r="B44" s="9" t="s">
        <v>44</v>
      </c>
      <c r="C44" t="s">
        <v>60</v>
      </c>
      <c r="D44" t="s">
        <v>94</v>
      </c>
      <c r="E44" cm="1">
        <f t="array" ref="E44">_xlfn.IFS(B44="S", 200000, B44="A", 160000, B44="B", 130000) * _xlfn.IFS(D44="Entry (L3)", 0.8, D44="Mid (L4)", 1, D44="Senior (L5)", 1.4, D44="Staff (L6)", 1.8, D44="Principal (L7)", 2.5)</f>
        <v>160000</v>
      </c>
      <c r="V44" s="30"/>
      <c r="W44" s="30"/>
    </row>
    <row r="45" spans="2:23">
      <c r="B45" s="9" t="s">
        <v>44</v>
      </c>
      <c r="C45" t="s">
        <v>60</v>
      </c>
      <c r="D45" t="s">
        <v>95</v>
      </c>
      <c r="E45" cm="1">
        <f t="array" ref="E45">_xlfn.IFS(B45="S", 200000, B45="A", 160000, B45="B", 130000) * _xlfn.IFS(D45="Entry (L3)", 0.8, D45="Mid (L4)", 1, D45="Senior (L5)", 1.4, D45="Staff (L6)", 1.8, D45="Principal (L7)", 2.5)</f>
        <v>200000</v>
      </c>
      <c r="V45" s="30"/>
      <c r="W45" s="30"/>
    </row>
    <row r="46" spans="2:23">
      <c r="B46" s="9" t="s">
        <v>44</v>
      </c>
      <c r="C46" t="s">
        <v>60</v>
      </c>
      <c r="D46" t="s">
        <v>98</v>
      </c>
      <c r="E46" cm="1">
        <f t="array" ref="E46">_xlfn.IFS(B46="S", 200000, B46="A", 160000, B46="B", 130000) * _xlfn.IFS(D46="Entry (L3)", 0.8, D46="Mid (L4)", 1, D46="Senior (L5)", 1.4, D46="Staff (L6)", 1.8, D46="Principal (L7)", 2.5)</f>
        <v>280000</v>
      </c>
      <c r="V46" s="34"/>
      <c r="W46" s="34"/>
    </row>
    <row r="47" spans="2:23">
      <c r="B47" s="9" t="s">
        <v>44</v>
      </c>
      <c r="C47" t="s">
        <v>60</v>
      </c>
      <c r="D47" t="s">
        <v>97</v>
      </c>
      <c r="E47" cm="1">
        <f t="array" ref="E47">_xlfn.IFS(B47="S", 200000, B47="A", 160000, B47="B", 130000) * _xlfn.IFS(D47="Entry (L3)", 0.8, D47="Mid (L4)", 1, D47="Senior (L5)", 1.4, D47="Staff (L6)", 1.8, D47="Principal (L7)", 2.5)</f>
        <v>360000</v>
      </c>
      <c r="V47" s="34"/>
      <c r="W47" s="34"/>
    </row>
    <row r="48" spans="2:23">
      <c r="B48" s="9" t="s">
        <v>44</v>
      </c>
      <c r="C48" t="s">
        <v>60</v>
      </c>
      <c r="D48" t="s">
        <v>96</v>
      </c>
      <c r="E48" cm="1">
        <f t="array" ref="E48">_xlfn.IFS(B48="S", 200000, B48="A", 160000, B48="B", 130000) * _xlfn.IFS(D48="Entry (L3)", 0.8, D48="Mid (L4)", 1, D48="Senior (L5)", 1.4, D48="Staff (L6)", 1.8, D48="Principal (L7)", 2.5)</f>
        <v>500000</v>
      </c>
      <c r="V48" s="34"/>
      <c r="W48" s="34"/>
    </row>
    <row r="49" spans="2:23">
      <c r="B49" s="9" t="s">
        <v>44</v>
      </c>
      <c r="C49" t="s">
        <v>67</v>
      </c>
      <c r="D49" t="s">
        <v>94</v>
      </c>
      <c r="E49" cm="1">
        <f t="array" ref="E49">_xlfn.IFS(B49="S", 200000, B49="A", 160000, B49="B", 130000) * _xlfn.IFS(D49="Entry (L3)", 0.8, D49="Mid (L4)", 1, D49="Senior (L5)", 1.4, D49="Staff (L6)", 1.8, D49="Principal (L7)", 2.5)</f>
        <v>160000</v>
      </c>
      <c r="V49" s="34"/>
      <c r="W49" s="34"/>
    </row>
    <row r="50" spans="2:23">
      <c r="B50" s="9" t="s">
        <v>44</v>
      </c>
      <c r="C50" t="s">
        <v>67</v>
      </c>
      <c r="D50" t="s">
        <v>95</v>
      </c>
      <c r="E50" cm="1">
        <f t="array" ref="E50">_xlfn.IFS(B50="S", 200000, B50="A", 160000, B50="B", 130000) * _xlfn.IFS(D50="Entry (L3)", 0.8, D50="Mid (L4)", 1, D50="Senior (L5)", 1.4, D50="Staff (L6)", 1.8, D50="Principal (L7)", 2.5)</f>
        <v>200000</v>
      </c>
      <c r="V50" s="34"/>
      <c r="W50" s="34"/>
    </row>
    <row r="51" spans="2:23">
      <c r="B51" s="9" t="s">
        <v>44</v>
      </c>
      <c r="C51" t="s">
        <v>67</v>
      </c>
      <c r="D51" t="s">
        <v>98</v>
      </c>
      <c r="E51" cm="1">
        <f t="array" ref="E51">_xlfn.IFS(B51="S", 200000, B51="A", 160000, B51="B", 130000) * _xlfn.IFS(D51="Entry (L3)", 0.8, D51="Mid (L4)", 1, D51="Senior (L5)", 1.4, D51="Staff (L6)", 1.8, D51="Principal (L7)", 2.5)</f>
        <v>280000</v>
      </c>
      <c r="V51" s="34"/>
      <c r="W51" s="34"/>
    </row>
    <row r="52" spans="2:23">
      <c r="B52" s="9" t="s">
        <v>44</v>
      </c>
      <c r="C52" t="s">
        <v>67</v>
      </c>
      <c r="D52" t="s">
        <v>97</v>
      </c>
      <c r="E52" cm="1">
        <f t="array" ref="E52">_xlfn.IFS(B52="S", 200000, B52="A", 160000, B52="B", 130000) * _xlfn.IFS(D52="Entry (L3)", 0.8, D52="Mid (L4)", 1, D52="Senior (L5)", 1.4, D52="Staff (L6)", 1.8, D52="Principal (L7)", 2.5)</f>
        <v>360000</v>
      </c>
      <c r="V52" s="34"/>
      <c r="W52" s="34"/>
    </row>
    <row r="53" spans="2:23">
      <c r="B53" s="9" t="s">
        <v>44</v>
      </c>
      <c r="C53" t="s">
        <v>67</v>
      </c>
      <c r="D53" t="s">
        <v>96</v>
      </c>
      <c r="E53" cm="1">
        <f t="array" ref="E53">_xlfn.IFS(B53="S", 200000, B53="A", 160000, B53="B", 130000) * _xlfn.IFS(D53="Entry (L3)", 0.8, D53="Mid (L4)", 1, D53="Senior (L5)", 1.4, D53="Staff (L6)", 1.8, D53="Principal (L7)", 2.5)</f>
        <v>500000</v>
      </c>
      <c r="V53" s="34"/>
      <c r="W53" s="34"/>
    </row>
    <row r="54" spans="2:23">
      <c r="B54" s="9" t="s">
        <v>44</v>
      </c>
      <c r="C54" t="s">
        <v>68</v>
      </c>
      <c r="D54" t="s">
        <v>94</v>
      </c>
      <c r="E54" cm="1">
        <f t="array" ref="E54">_xlfn.IFS(B54="S", 200000, B54="A", 160000, B54="B", 130000) * _xlfn.IFS(D54="Entry (L3)", 0.8, D54="Mid (L4)", 1, D54="Senior (L5)", 1.4, D54="Staff (L6)", 1.8, D54="Principal (L7)", 2.5)</f>
        <v>160000</v>
      </c>
      <c r="V54" s="34"/>
      <c r="W54" s="34"/>
    </row>
    <row r="55" spans="2:23">
      <c r="B55" s="9" t="s">
        <v>44</v>
      </c>
      <c r="C55" t="s">
        <v>68</v>
      </c>
      <c r="D55" t="s">
        <v>95</v>
      </c>
      <c r="E55" cm="1">
        <f t="array" ref="E55">_xlfn.IFS(B55="S", 200000, B55="A", 160000, B55="B", 130000) * _xlfn.IFS(D55="Entry (L3)", 0.8, D55="Mid (L4)", 1, D55="Senior (L5)", 1.4, D55="Staff (L6)", 1.8, D55="Principal (L7)", 2.5)</f>
        <v>200000</v>
      </c>
      <c r="V55" s="34"/>
      <c r="W55" s="34"/>
    </row>
    <row r="56" spans="2:23">
      <c r="B56" s="9" t="s">
        <v>44</v>
      </c>
      <c r="C56" t="s">
        <v>68</v>
      </c>
      <c r="D56" t="s">
        <v>98</v>
      </c>
      <c r="E56" cm="1">
        <f t="array" ref="E56">_xlfn.IFS(B56="S", 200000, B56="A", 160000, B56="B", 130000) * _xlfn.IFS(D56="Entry (L3)", 0.8, D56="Mid (L4)", 1, D56="Senior (L5)", 1.4, D56="Staff (L6)", 1.8, D56="Principal (L7)", 2.5)</f>
        <v>280000</v>
      </c>
      <c r="V56" s="34"/>
      <c r="W56" s="34"/>
    </row>
    <row r="57" spans="2:23">
      <c r="B57" s="9" t="s">
        <v>44</v>
      </c>
      <c r="C57" t="s">
        <v>68</v>
      </c>
      <c r="D57" t="s">
        <v>97</v>
      </c>
      <c r="E57" cm="1">
        <f t="array" ref="E57">_xlfn.IFS(B57="S", 200000, B57="A", 160000, B57="B", 130000) * _xlfn.IFS(D57="Entry (L3)", 0.8, D57="Mid (L4)", 1, D57="Senior (L5)", 1.4, D57="Staff (L6)", 1.8, D57="Principal (L7)", 2.5)</f>
        <v>360000</v>
      </c>
      <c r="V57" s="34"/>
      <c r="W57" s="34"/>
    </row>
    <row r="58" spans="2:23">
      <c r="B58" s="9" t="s">
        <v>44</v>
      </c>
      <c r="C58" t="s">
        <v>68</v>
      </c>
      <c r="D58" t="s">
        <v>96</v>
      </c>
      <c r="E58" cm="1">
        <f t="array" ref="E58">_xlfn.IFS(B58="S", 200000, B58="A", 160000, B58="B", 130000) * _xlfn.IFS(D58="Entry (L3)", 0.8, D58="Mid (L4)", 1, D58="Senior (L5)", 1.4, D58="Staff (L6)", 1.8, D58="Principal (L7)", 2.5)</f>
        <v>500000</v>
      </c>
      <c r="V58" s="34"/>
      <c r="W58" s="34"/>
    </row>
    <row r="59" spans="2:23">
      <c r="B59" s="9" t="s">
        <v>44</v>
      </c>
      <c r="C59" t="s">
        <v>69</v>
      </c>
      <c r="D59" t="s">
        <v>94</v>
      </c>
      <c r="E59" cm="1">
        <f t="array" ref="E59">_xlfn.IFS(B59="S", 200000, B59="A", 160000, B59="B", 130000) * _xlfn.IFS(D59="Entry (L3)", 0.8, D59="Mid (L4)", 1, D59="Senior (L5)", 1.4, D59="Staff (L6)", 1.8, D59="Principal (L7)", 2.5)</f>
        <v>160000</v>
      </c>
      <c r="V59" s="34"/>
      <c r="W59" s="34"/>
    </row>
    <row r="60" spans="2:23">
      <c r="B60" s="9" t="s">
        <v>44</v>
      </c>
      <c r="C60" t="s">
        <v>69</v>
      </c>
      <c r="D60" t="s">
        <v>95</v>
      </c>
      <c r="E60" cm="1">
        <f t="array" ref="E60">_xlfn.IFS(B60="S", 200000, B60="A", 160000, B60="B", 130000) * _xlfn.IFS(D60="Entry (L3)", 0.8, D60="Mid (L4)", 1, D60="Senior (L5)", 1.4, D60="Staff (L6)", 1.8, D60="Principal (L7)", 2.5)</f>
        <v>200000</v>
      </c>
      <c r="V60" s="34"/>
      <c r="W60" s="34"/>
    </row>
    <row r="61" spans="2:23">
      <c r="B61" s="9" t="s">
        <v>44</v>
      </c>
      <c r="C61" t="s">
        <v>69</v>
      </c>
      <c r="D61" t="s">
        <v>98</v>
      </c>
      <c r="E61" cm="1">
        <f t="array" ref="E61">_xlfn.IFS(B61="S", 200000, B61="A", 160000, B61="B", 130000) * _xlfn.IFS(D61="Entry (L3)", 0.8, D61="Mid (L4)", 1, D61="Senior (L5)", 1.4, D61="Staff (L6)", 1.8, D61="Principal (L7)", 2.5)</f>
        <v>280000</v>
      </c>
      <c r="V61" s="34"/>
      <c r="W61" s="34"/>
    </row>
    <row r="62" spans="2:23">
      <c r="B62" s="9" t="s">
        <v>44</v>
      </c>
      <c r="C62" t="s">
        <v>69</v>
      </c>
      <c r="D62" t="s">
        <v>97</v>
      </c>
      <c r="E62" cm="1">
        <f t="array" ref="E62">_xlfn.IFS(B62="S", 200000, B62="A", 160000, B62="B", 130000) * _xlfn.IFS(D62="Entry (L3)", 0.8, D62="Mid (L4)", 1, D62="Senior (L5)", 1.4, D62="Staff (L6)", 1.8, D62="Principal (L7)", 2.5)</f>
        <v>360000</v>
      </c>
      <c r="V62" s="34"/>
      <c r="W62" s="34"/>
    </row>
    <row r="63" spans="2:23">
      <c r="B63" s="9" t="s">
        <v>44</v>
      </c>
      <c r="C63" t="s">
        <v>69</v>
      </c>
      <c r="D63" t="s">
        <v>96</v>
      </c>
      <c r="E63" cm="1">
        <f t="array" ref="E63">_xlfn.IFS(B63="S", 200000, B63="A", 160000, B63="B", 130000) * _xlfn.IFS(D63="Entry (L3)", 0.8, D63="Mid (L4)", 1, D63="Senior (L5)", 1.4, D63="Staff (L6)", 1.8, D63="Principal (L7)", 2.5)</f>
        <v>500000</v>
      </c>
      <c r="V63" s="34"/>
      <c r="W63" s="34"/>
    </row>
    <row r="64" spans="2:23">
      <c r="B64" s="9" t="s">
        <v>44</v>
      </c>
      <c r="C64" t="s">
        <v>70</v>
      </c>
      <c r="D64" t="s">
        <v>94</v>
      </c>
      <c r="E64" cm="1">
        <f t="array" ref="E64">_xlfn.IFS(B64="S", 200000, B64="A", 160000, B64="B", 130000) * _xlfn.IFS(D64="Entry (L3)", 0.8, D64="Mid (L4)", 1, D64="Senior (L5)", 1.4, D64="Staff (L6)", 1.8, D64="Principal (L7)", 2.5)</f>
        <v>160000</v>
      </c>
      <c r="V64" s="34"/>
      <c r="W64" s="34"/>
    </row>
    <row r="65" spans="2:23">
      <c r="B65" s="9" t="s">
        <v>44</v>
      </c>
      <c r="C65" t="s">
        <v>70</v>
      </c>
      <c r="D65" t="s">
        <v>95</v>
      </c>
      <c r="E65" cm="1">
        <f t="array" ref="E65">_xlfn.IFS(B65="S", 200000, B65="A", 160000, B65="B", 130000) * _xlfn.IFS(D65="Entry (L3)", 0.8, D65="Mid (L4)", 1, D65="Senior (L5)", 1.4, D65="Staff (L6)", 1.8, D65="Principal (L7)", 2.5)</f>
        <v>200000</v>
      </c>
      <c r="V65" s="34"/>
      <c r="W65" s="34"/>
    </row>
    <row r="66" spans="2:23">
      <c r="B66" s="9" t="s">
        <v>44</v>
      </c>
      <c r="C66" t="s">
        <v>70</v>
      </c>
      <c r="D66" t="s">
        <v>98</v>
      </c>
      <c r="E66" cm="1">
        <f t="array" ref="E66">_xlfn.IFS(B66="S", 200000, B66="A", 160000, B66="B", 130000) * _xlfn.IFS(D66="Entry (L3)", 0.8, D66="Mid (L4)", 1, D66="Senior (L5)", 1.4, D66="Staff (L6)", 1.8, D66="Principal (L7)", 2.5)</f>
        <v>280000</v>
      </c>
      <c r="V66" s="34"/>
      <c r="W66" s="34"/>
    </row>
    <row r="67" spans="2:23">
      <c r="B67" s="9" t="s">
        <v>44</v>
      </c>
      <c r="C67" t="s">
        <v>70</v>
      </c>
      <c r="D67" t="s">
        <v>97</v>
      </c>
      <c r="E67" cm="1">
        <f t="array" ref="E67">_xlfn.IFS(B67="S", 200000, B67="A", 160000, B67="B", 130000) * _xlfn.IFS(D67="Entry (L3)", 0.8, D67="Mid (L4)", 1, D67="Senior (L5)", 1.4, D67="Staff (L6)", 1.8, D67="Principal (L7)", 2.5)</f>
        <v>360000</v>
      </c>
      <c r="V67" s="34"/>
      <c r="W67" s="34"/>
    </row>
    <row r="68" spans="2:23">
      <c r="B68" s="9" t="s">
        <v>44</v>
      </c>
      <c r="C68" t="s">
        <v>70</v>
      </c>
      <c r="D68" t="s">
        <v>96</v>
      </c>
      <c r="E68" cm="1">
        <f t="array" ref="E68">_xlfn.IFS(B68="S", 200000, B68="A", 160000, B68="B", 130000) * _xlfn.IFS(D68="Entry (L3)", 0.8, D68="Mid (L4)", 1, D68="Senior (L5)", 1.4, D68="Staff (L6)", 1.8, D68="Principal (L7)", 2.5)</f>
        <v>500000</v>
      </c>
      <c r="V68" s="34"/>
      <c r="W68" s="34"/>
    </row>
    <row r="69" spans="2:23">
      <c r="B69" s="9" t="s">
        <v>44</v>
      </c>
      <c r="C69" t="s">
        <v>71</v>
      </c>
      <c r="D69" t="s">
        <v>94</v>
      </c>
      <c r="E69" cm="1">
        <f t="array" ref="E69">_xlfn.IFS(B69="S", 200000, B69="A", 160000, B69="B", 130000) * _xlfn.IFS(D69="Entry (L3)", 0.8, D69="Mid (L4)", 1, D69="Senior (L5)", 1.4, D69="Staff (L6)", 1.8, D69="Principal (L7)", 2.5)</f>
        <v>160000</v>
      </c>
      <c r="V69" s="34"/>
      <c r="W69" s="34"/>
    </row>
    <row r="70" spans="2:23">
      <c r="B70" s="9" t="s">
        <v>44</v>
      </c>
      <c r="C70" t="s">
        <v>71</v>
      </c>
      <c r="D70" t="s">
        <v>95</v>
      </c>
      <c r="E70" cm="1">
        <f t="array" ref="E70">_xlfn.IFS(B70="S", 200000, B70="A", 160000, B70="B", 130000) * _xlfn.IFS(D70="Entry (L3)", 0.8, D70="Mid (L4)", 1, D70="Senior (L5)", 1.4, D70="Staff (L6)", 1.8, D70="Principal (L7)", 2.5)</f>
        <v>200000</v>
      </c>
      <c r="V70" s="34"/>
      <c r="W70" s="34"/>
    </row>
    <row r="71" spans="2:23">
      <c r="B71" s="9" t="s">
        <v>44</v>
      </c>
      <c r="C71" t="s">
        <v>71</v>
      </c>
      <c r="D71" t="s">
        <v>98</v>
      </c>
      <c r="E71" cm="1">
        <f t="array" ref="E71">_xlfn.IFS(B71="S", 200000, B71="A", 160000, B71="B", 130000) * _xlfn.IFS(D71="Entry (L3)", 0.8, D71="Mid (L4)", 1, D71="Senior (L5)", 1.4, D71="Staff (L6)", 1.8, D71="Principal (L7)", 2.5)</f>
        <v>280000</v>
      </c>
      <c r="V71" s="34"/>
      <c r="W71" s="34"/>
    </row>
    <row r="72" spans="2:23">
      <c r="B72" s="9" t="s">
        <v>44</v>
      </c>
      <c r="C72" t="s">
        <v>71</v>
      </c>
      <c r="D72" t="s">
        <v>97</v>
      </c>
      <c r="E72" cm="1">
        <f t="array" ref="E72">_xlfn.IFS(B72="S", 200000, B72="A", 160000, B72="B", 130000) * _xlfn.IFS(D72="Entry (L3)", 0.8, D72="Mid (L4)", 1, D72="Senior (L5)", 1.4, D72="Staff (L6)", 1.8, D72="Principal (L7)", 2.5)</f>
        <v>360000</v>
      </c>
      <c r="V72" s="34"/>
      <c r="W72" s="34"/>
    </row>
    <row r="73" spans="2:23">
      <c r="B73" s="9" t="s">
        <v>44</v>
      </c>
      <c r="C73" t="s">
        <v>71</v>
      </c>
      <c r="D73" t="s">
        <v>96</v>
      </c>
      <c r="E73" cm="1">
        <f t="array" ref="E73">_xlfn.IFS(B73="S", 200000, B73="A", 160000, B73="B", 130000) * _xlfn.IFS(D73="Entry (L3)", 0.8, D73="Mid (L4)", 1, D73="Senior (L5)", 1.4, D73="Staff (L6)", 1.8, D73="Principal (L7)", 2.5)</f>
        <v>500000</v>
      </c>
      <c r="V73" s="34"/>
      <c r="W73" s="34"/>
    </row>
    <row r="74" spans="2:23">
      <c r="B74" s="9" t="s">
        <v>44</v>
      </c>
      <c r="C74" t="s">
        <v>72</v>
      </c>
      <c r="D74" t="s">
        <v>94</v>
      </c>
      <c r="E74" cm="1">
        <f t="array" ref="E74">_xlfn.IFS(B74="S", 200000, B74="A", 160000, B74="B", 130000) * _xlfn.IFS(D74="Entry (L3)", 0.8, D74="Mid (L4)", 1, D74="Senior (L5)", 1.4, D74="Staff (L6)", 1.8, D74="Principal (L7)", 2.5)</f>
        <v>160000</v>
      </c>
      <c r="V74" s="34"/>
      <c r="W74" s="34"/>
    </row>
    <row r="75" spans="2:23">
      <c r="B75" s="9" t="s">
        <v>44</v>
      </c>
      <c r="C75" t="s">
        <v>129</v>
      </c>
      <c r="D75" t="s">
        <v>95</v>
      </c>
      <c r="E75" cm="1">
        <f t="array" ref="E75">_xlfn.IFS(B75="S", 200000, B75="A", 160000, B75="B", 130000) * _xlfn.IFS(D75="Entry (L3)", 0.8, D75="Mid (L4)", 1, D75="Senior (L5)", 1.4, D75="Staff (L6)", 1.8, D75="Principal (L7)", 2.5)</f>
        <v>200000</v>
      </c>
      <c r="V75" s="34"/>
      <c r="W75" s="34"/>
    </row>
    <row r="76" spans="2:23">
      <c r="B76" s="9" t="s">
        <v>44</v>
      </c>
      <c r="C76" t="s">
        <v>130</v>
      </c>
      <c r="D76" t="s">
        <v>98</v>
      </c>
      <c r="E76" cm="1">
        <f t="array" ref="E76">_xlfn.IFS(B76="S", 200000, B76="A", 160000, B76="B", 130000) * _xlfn.IFS(D76="Entry (L3)", 0.8, D76="Mid (L4)", 1, D76="Senior (L5)", 1.4, D76="Staff (L6)", 1.8, D76="Principal (L7)", 2.5)</f>
        <v>280000</v>
      </c>
      <c r="V76" s="34"/>
      <c r="W76" s="34"/>
    </row>
    <row r="77" spans="2:23">
      <c r="B77" s="9" t="s">
        <v>44</v>
      </c>
      <c r="C77" t="s">
        <v>131</v>
      </c>
      <c r="D77" t="s">
        <v>97</v>
      </c>
      <c r="E77" cm="1">
        <f t="array" ref="E77">_xlfn.IFS(B77="S", 200000, B77="A", 160000, B77="B", 130000) * _xlfn.IFS(D77="Entry (L3)", 0.8, D77="Mid (L4)", 1, D77="Senior (L5)", 1.4, D77="Staff (L6)", 1.8, D77="Principal (L7)", 2.5)</f>
        <v>360000</v>
      </c>
      <c r="V77" s="34"/>
      <c r="W77" s="34"/>
    </row>
    <row r="78" spans="2:23">
      <c r="B78" s="9" t="s">
        <v>44</v>
      </c>
      <c r="C78" t="s">
        <v>132</v>
      </c>
      <c r="D78" t="s">
        <v>96</v>
      </c>
      <c r="E78" cm="1">
        <f t="array" ref="E78">_xlfn.IFS(B78="S", 200000, B78="A", 160000, B78="B", 130000) * _xlfn.IFS(D78="Entry (L3)", 0.8, D78="Mid (L4)", 1, D78="Senior (L5)", 1.4, D78="Staff (L6)", 1.8, D78="Principal (L7)", 2.5)</f>
        <v>500000</v>
      </c>
      <c r="V78" s="34"/>
      <c r="W78" s="34"/>
    </row>
    <row r="79" spans="2:23">
      <c r="B79" s="9" t="s">
        <v>44</v>
      </c>
      <c r="C79" t="s">
        <v>73</v>
      </c>
      <c r="D79" t="s">
        <v>94</v>
      </c>
      <c r="E79" cm="1">
        <f t="array" ref="E79">_xlfn.IFS(B79="S", 200000, B79="A", 160000, B79="B", 130000) * _xlfn.IFS(D79="Entry (L3)", 0.8, D79="Mid (L4)", 1, D79="Senior (L5)", 1.4, D79="Staff (L6)", 1.8, D79="Principal (L7)", 2.5)</f>
        <v>160000</v>
      </c>
      <c r="V79" s="34"/>
      <c r="W79" s="34"/>
    </row>
    <row r="80" spans="2:23">
      <c r="B80" s="9" t="s">
        <v>44</v>
      </c>
      <c r="D80" t="s">
        <v>95</v>
      </c>
      <c r="E80" cm="1">
        <f t="array" ref="E80">_xlfn.IFS(B80="S", 200000, B80="A", 160000, B80="B", 130000) * _xlfn.IFS(D80="Entry (L3)", 0.8, D80="Mid (L4)", 1, D80="Senior (L5)", 1.4, D80="Staff (L6)", 1.8, D80="Principal (L7)", 2.5)</f>
        <v>200000</v>
      </c>
      <c r="V80" s="34"/>
      <c r="W80" s="34"/>
    </row>
    <row r="81" spans="2:23">
      <c r="B81" s="9" t="s">
        <v>44</v>
      </c>
      <c r="D81" t="s">
        <v>98</v>
      </c>
      <c r="E81" cm="1">
        <f t="array" ref="E81">_xlfn.IFS(B81="S", 200000, B81="A", 160000, B81="B", 130000) * _xlfn.IFS(D81="Entry (L3)", 0.8, D81="Mid (L4)", 1, D81="Senior (L5)", 1.4, D81="Staff (L6)", 1.8, D81="Principal (L7)", 2.5)</f>
        <v>280000</v>
      </c>
      <c r="V81" s="34"/>
      <c r="W81" s="34"/>
    </row>
    <row r="82" spans="2:23">
      <c r="B82" s="9" t="s">
        <v>44</v>
      </c>
      <c r="D82" t="s">
        <v>97</v>
      </c>
      <c r="E82" cm="1">
        <f t="array" ref="E82">_xlfn.IFS(B82="S", 200000, B82="A", 160000, B82="B", 130000) * _xlfn.IFS(D82="Entry (L3)", 0.8, D82="Mid (L4)", 1, D82="Senior (L5)", 1.4, D82="Staff (L6)", 1.8, D82="Principal (L7)", 2.5)</f>
        <v>360000</v>
      </c>
      <c r="V82" s="34"/>
      <c r="W82" s="34"/>
    </row>
    <row r="83" spans="2:23">
      <c r="B83" s="9" t="s">
        <v>44</v>
      </c>
      <c r="D83" t="s">
        <v>96</v>
      </c>
      <c r="E83" cm="1">
        <f t="array" ref="E83">_xlfn.IFS(B83="S", 200000, B83="A", 160000, B83="B", 130000) * _xlfn.IFS(D83="Entry (L3)", 0.8, D83="Mid (L4)", 1, D83="Senior (L5)", 1.4, D83="Staff (L6)", 1.8, D83="Principal (L7)", 2.5)</f>
        <v>500000</v>
      </c>
      <c r="V83" s="34"/>
      <c r="W83" s="34"/>
    </row>
    <row r="84" spans="2:23">
      <c r="B84" s="9" t="s">
        <v>44</v>
      </c>
      <c r="C84" t="s">
        <v>74</v>
      </c>
      <c r="D84" t="s">
        <v>94</v>
      </c>
      <c r="E84" cm="1">
        <f t="array" ref="E84">_xlfn.IFS(B84="S", 200000, B84="A", 160000, B84="B", 130000) * _xlfn.IFS(D84="Entry (L3)", 0.8, D84="Mid (L4)", 1, D84="Senior (L5)", 1.4, D84="Staff (L6)", 1.8, D84="Principal (L7)", 2.5)</f>
        <v>160000</v>
      </c>
      <c r="V84" s="34"/>
      <c r="W84" s="34"/>
    </row>
    <row r="85" spans="2:23">
      <c r="B85" s="9" t="s">
        <v>44</v>
      </c>
      <c r="D85" t="s">
        <v>95</v>
      </c>
      <c r="E85" cm="1">
        <f t="array" ref="E85">_xlfn.IFS(B85="S", 200000, B85="A", 160000, B85="B", 130000) * _xlfn.IFS(D85="Entry (L3)", 0.8, D85="Mid (L4)", 1, D85="Senior (L5)", 1.4, D85="Staff (L6)", 1.8, D85="Principal (L7)", 2.5)</f>
        <v>200000</v>
      </c>
      <c r="V85" s="34"/>
      <c r="W85" s="34"/>
    </row>
    <row r="86" spans="2:23">
      <c r="B86" s="9" t="s">
        <v>44</v>
      </c>
      <c r="D86" t="s">
        <v>98</v>
      </c>
      <c r="E86" cm="1">
        <f t="array" ref="E86">_xlfn.IFS(B86="S", 200000, B86="A", 160000, B86="B", 130000) * _xlfn.IFS(D86="Entry (L3)", 0.8, D86="Mid (L4)", 1, D86="Senior (L5)", 1.4, D86="Staff (L6)", 1.8, D86="Principal (L7)", 2.5)</f>
        <v>280000</v>
      </c>
      <c r="V86" s="34"/>
      <c r="W86" s="34"/>
    </row>
    <row r="87" spans="2:23">
      <c r="B87" s="9" t="s">
        <v>44</v>
      </c>
      <c r="D87" t="s">
        <v>97</v>
      </c>
      <c r="E87" cm="1">
        <f t="array" ref="E87">_xlfn.IFS(B87="S", 200000, B87="A", 160000, B87="B", 130000) * _xlfn.IFS(D87="Entry (L3)", 0.8, D87="Mid (L4)", 1, D87="Senior (L5)", 1.4, D87="Staff (L6)", 1.8, D87="Principal (L7)", 2.5)</f>
        <v>360000</v>
      </c>
      <c r="V87" s="34"/>
      <c r="W87" s="34"/>
    </row>
    <row r="88" spans="2:23">
      <c r="B88" s="9" t="s">
        <v>44</v>
      </c>
      <c r="D88" t="s">
        <v>96</v>
      </c>
      <c r="E88" cm="1">
        <f t="array" ref="E88">_xlfn.IFS(B88="S", 200000, B88="A", 160000, B88="B", 130000) * _xlfn.IFS(D88="Entry (L3)", 0.8, D88="Mid (L4)", 1, D88="Senior (L5)", 1.4, D88="Staff (L6)", 1.8, D88="Principal (L7)", 2.5)</f>
        <v>500000</v>
      </c>
      <c r="V88" s="34"/>
      <c r="W88" s="34"/>
    </row>
    <row r="89" spans="2:23">
      <c r="B89" s="9" t="s">
        <v>44</v>
      </c>
      <c r="C89" t="s">
        <v>75</v>
      </c>
      <c r="D89" t="s">
        <v>94</v>
      </c>
      <c r="E89" cm="1">
        <f t="array" ref="E89">_xlfn.IFS(B89="S", 200000, B89="A", 160000, B89="B", 130000) * _xlfn.IFS(D89="Entry (L3)", 0.8, D89="Mid (L4)", 1, D89="Senior (L5)", 1.4, D89="Staff (L6)", 1.8, D89="Principal (L7)", 2.5)</f>
        <v>160000</v>
      </c>
      <c r="V89" s="34"/>
      <c r="W89" s="34"/>
    </row>
    <row r="90" spans="2:23">
      <c r="B90" s="9" t="s">
        <v>44</v>
      </c>
      <c r="D90" t="s">
        <v>95</v>
      </c>
      <c r="E90" cm="1">
        <f t="array" ref="E90">_xlfn.IFS(B90="S", 200000, B90="A", 160000, B90="B", 130000) * _xlfn.IFS(D90="Entry (L3)", 0.8, D90="Mid (L4)", 1, D90="Senior (L5)", 1.4, D90="Staff (L6)", 1.8, D90="Principal (L7)", 2.5)</f>
        <v>200000</v>
      </c>
      <c r="V90" s="34"/>
      <c r="W90" s="34"/>
    </row>
    <row r="91" spans="2:23">
      <c r="B91" s="9" t="s">
        <v>44</v>
      </c>
      <c r="D91" t="s">
        <v>98</v>
      </c>
      <c r="E91" cm="1">
        <f t="array" ref="E91">_xlfn.IFS(B91="S", 200000, B91="A", 160000, B91="B", 130000) * _xlfn.IFS(D91="Entry (L3)", 0.8, D91="Mid (L4)", 1, D91="Senior (L5)", 1.4, D91="Staff (L6)", 1.8, D91="Principal (L7)", 2.5)</f>
        <v>280000</v>
      </c>
      <c r="V91" s="34"/>
      <c r="W91" s="34"/>
    </row>
    <row r="92" spans="2:23">
      <c r="B92" s="9" t="s">
        <v>44</v>
      </c>
      <c r="D92" t="s">
        <v>97</v>
      </c>
      <c r="E92" cm="1">
        <f t="array" ref="E92">_xlfn.IFS(B92="S", 200000, B92="A", 160000, B92="B", 130000) * _xlfn.IFS(D92="Entry (L3)", 0.8, D92="Mid (L4)", 1, D92="Senior (L5)", 1.4, D92="Staff (L6)", 1.8, D92="Principal (L7)", 2.5)</f>
        <v>360000</v>
      </c>
    </row>
    <row r="93" spans="2:23">
      <c r="B93" s="9" t="s">
        <v>44</v>
      </c>
      <c r="D93" t="s">
        <v>96</v>
      </c>
      <c r="E93" cm="1">
        <f t="array" ref="E93">_xlfn.IFS(B93="S", 200000, B93="A", 160000, B93="B", 130000) * _xlfn.IFS(D93="Entry (L3)", 0.8, D93="Mid (L4)", 1, D93="Senior (L5)", 1.4, D93="Staff (L6)", 1.8, D93="Principal (L7)", 2.5)</f>
        <v>500000</v>
      </c>
    </row>
    <row r="94" spans="2:23">
      <c r="B94" s="9" t="s">
        <v>44</v>
      </c>
      <c r="C94" t="s">
        <v>76</v>
      </c>
      <c r="D94" t="s">
        <v>94</v>
      </c>
      <c r="E94" cm="1">
        <f t="array" ref="E94">_xlfn.IFS(B94="S", 200000, B94="A", 160000, B94="B", 130000) * _xlfn.IFS(D94="Entry (L3)", 0.8, D94="Mid (L4)", 1, D94="Senior (L5)", 1.4, D94="Staff (L6)", 1.8, D94="Principal (L7)", 2.5)</f>
        <v>160000</v>
      </c>
    </row>
    <row r="95" spans="2:23">
      <c r="B95" s="9" t="s">
        <v>44</v>
      </c>
      <c r="D95" t="s">
        <v>95</v>
      </c>
      <c r="E95" cm="1">
        <f t="array" ref="E95">_xlfn.IFS(B95="S", 200000, B95="A", 160000, B95="B", 130000) * _xlfn.IFS(D95="Entry (L3)", 0.8, D95="Mid (L4)", 1, D95="Senior (L5)", 1.4, D95="Staff (L6)", 1.8, D95="Principal (L7)", 2.5)</f>
        <v>200000</v>
      </c>
    </row>
    <row r="96" spans="2:23">
      <c r="B96" s="9" t="s">
        <v>44</v>
      </c>
      <c r="D96" t="s">
        <v>98</v>
      </c>
      <c r="E96" cm="1">
        <f t="array" ref="E96">_xlfn.IFS(B96="S", 200000, B96="A", 160000, B96="B", 130000) * _xlfn.IFS(D96="Entry (L3)", 0.8, D96="Mid (L4)", 1, D96="Senior (L5)", 1.4, D96="Staff (L6)", 1.8, D96="Principal (L7)", 2.5)</f>
        <v>280000</v>
      </c>
    </row>
    <row r="97" spans="2:5">
      <c r="B97" s="9" t="s">
        <v>44</v>
      </c>
      <c r="D97" t="s">
        <v>97</v>
      </c>
      <c r="E97" cm="1">
        <f t="array" ref="E97">_xlfn.IFS(B97="S", 200000, B97="A", 160000, B97="B", 130000) * _xlfn.IFS(D97="Entry (L3)", 0.8, D97="Mid (L4)", 1, D97="Senior (L5)", 1.4, D97="Staff (L6)", 1.8, D97="Principal (L7)", 2.5)</f>
        <v>360000</v>
      </c>
    </row>
    <row r="98" spans="2:5">
      <c r="B98" s="9" t="s">
        <v>44</v>
      </c>
      <c r="D98" t="s">
        <v>96</v>
      </c>
      <c r="E98" cm="1">
        <f t="array" ref="E98">_xlfn.IFS(B98="S", 200000, B98="A", 160000, B98="B", 130000) * _xlfn.IFS(D98="Entry (L3)", 0.8, D98="Mid (L4)", 1, D98="Senior (L5)", 1.4, D98="Staff (L6)", 1.8, D98="Principal (L7)", 2.5)</f>
        <v>500000</v>
      </c>
    </row>
    <row r="99" spans="2:5">
      <c r="B99" s="9" t="s">
        <v>44</v>
      </c>
      <c r="C99" t="s">
        <v>77</v>
      </c>
      <c r="D99" t="s">
        <v>94</v>
      </c>
      <c r="E99" cm="1">
        <f t="array" ref="E99">_xlfn.IFS(B99="S", 200000, B99="A", 160000, B99="B", 130000) * _xlfn.IFS(D99="Entry (L3)", 0.8, D99="Mid (L4)", 1, D99="Senior (L5)", 1.4, D99="Staff (L6)", 1.8, D99="Principal (L7)", 2.5)</f>
        <v>160000</v>
      </c>
    </row>
    <row r="100" spans="2:5">
      <c r="B100" s="9" t="s">
        <v>44</v>
      </c>
      <c r="D100" t="s">
        <v>95</v>
      </c>
      <c r="E100" cm="1">
        <f t="array" ref="E100">_xlfn.IFS(B100="S", 200000, B100="A", 160000, B100="B", 130000) * _xlfn.IFS(D100="Entry (L3)", 0.8, D100="Mid (L4)", 1, D100="Senior (L5)", 1.4, D100="Staff (L6)", 1.8, D100="Principal (L7)", 2.5)</f>
        <v>200000</v>
      </c>
    </row>
    <row r="101" spans="2:5">
      <c r="B101" s="9" t="s">
        <v>44</v>
      </c>
      <c r="D101" t="s">
        <v>98</v>
      </c>
      <c r="E101" cm="1">
        <f t="array" ref="E101">_xlfn.IFS(B101="S", 200000, B101="A", 160000, B101="B", 130000) * _xlfn.IFS(D101="Entry (L3)", 0.8, D101="Mid (L4)", 1, D101="Senior (L5)", 1.4, D101="Staff (L6)", 1.8, D101="Principal (L7)", 2.5)</f>
        <v>280000</v>
      </c>
    </row>
    <row r="102" spans="2:5">
      <c r="B102" s="9" t="s">
        <v>44</v>
      </c>
      <c r="D102" t="s">
        <v>97</v>
      </c>
      <c r="E102" cm="1">
        <f t="array" ref="E102">_xlfn.IFS(B102="S", 200000, B102="A", 160000, B102="B", 130000) * _xlfn.IFS(D102="Entry (L3)", 0.8, D102="Mid (L4)", 1, D102="Senior (L5)", 1.4, D102="Staff (L6)", 1.8, D102="Principal (L7)", 2.5)</f>
        <v>360000</v>
      </c>
    </row>
    <row r="103" spans="2:5">
      <c r="B103" s="9" t="s">
        <v>44</v>
      </c>
      <c r="D103" t="s">
        <v>96</v>
      </c>
      <c r="E103" cm="1">
        <f t="array" ref="E103">_xlfn.IFS(B103="S", 200000, B103="A", 160000, B103="B", 130000) * _xlfn.IFS(D103="Entry (L3)", 0.8, D103="Mid (L4)", 1, D103="Senior (L5)", 1.4, D103="Staff (L6)", 1.8, D103="Principal (L7)", 2.5)</f>
        <v>500000</v>
      </c>
    </row>
    <row r="104" spans="2:5">
      <c r="B104" s="9" t="s">
        <v>44</v>
      </c>
      <c r="C104" t="s">
        <v>78</v>
      </c>
      <c r="D104" t="s">
        <v>94</v>
      </c>
      <c r="E104" cm="1">
        <f t="array" ref="E104">_xlfn.IFS(B104="S", 200000, B104="A", 160000, B104="B", 130000) * _xlfn.IFS(D104="Entry (L3)", 0.8, D104="Mid (L4)", 1, D104="Senior (L5)", 1.4, D104="Staff (L6)", 1.8, D104="Principal (L7)", 2.5)</f>
        <v>160000</v>
      </c>
    </row>
    <row r="105" spans="2:5">
      <c r="B105" s="9" t="s">
        <v>44</v>
      </c>
      <c r="D105" t="s">
        <v>95</v>
      </c>
      <c r="E105" cm="1">
        <f t="array" ref="E105">_xlfn.IFS(B105="S", 200000, B105="A", 160000, B105="B", 130000) * _xlfn.IFS(D105="Entry (L3)", 0.8, D105="Mid (L4)", 1, D105="Senior (L5)", 1.4, D105="Staff (L6)", 1.8, D105="Principal (L7)", 2.5)</f>
        <v>200000</v>
      </c>
    </row>
    <row r="106" spans="2:5">
      <c r="B106" s="9" t="s">
        <v>44</v>
      </c>
      <c r="D106" t="s">
        <v>98</v>
      </c>
      <c r="E106" cm="1">
        <f t="array" ref="E106">_xlfn.IFS(B106="S", 200000, B106="A", 160000, B106="B", 130000) * _xlfn.IFS(D106="Entry (L3)", 0.8, D106="Mid (L4)", 1, D106="Senior (L5)", 1.4, D106="Staff (L6)", 1.8, D106="Principal (L7)", 2.5)</f>
        <v>280000</v>
      </c>
    </row>
    <row r="107" spans="2:5">
      <c r="B107" s="9" t="s">
        <v>44</v>
      </c>
      <c r="D107" t="s">
        <v>97</v>
      </c>
      <c r="E107" cm="1">
        <f t="array" ref="E107">_xlfn.IFS(B107="S", 200000, B107="A", 160000, B107="B", 130000) * _xlfn.IFS(D107="Entry (L3)", 0.8, D107="Mid (L4)", 1, D107="Senior (L5)", 1.4, D107="Staff (L6)", 1.8, D107="Principal (L7)", 2.5)</f>
        <v>360000</v>
      </c>
    </row>
    <row r="108" spans="2:5">
      <c r="B108" s="9" t="s">
        <v>44</v>
      </c>
      <c r="D108" t="s">
        <v>96</v>
      </c>
      <c r="E108" cm="1">
        <f t="array" ref="E108">_xlfn.IFS(B108="S", 200000, B108="A", 160000, B108="B", 130000) * _xlfn.IFS(D108="Entry (L3)", 0.8, D108="Mid (L4)", 1, D108="Senior (L5)", 1.4, D108="Staff (L6)", 1.8, D108="Principal (L7)", 2.5)</f>
        <v>500000</v>
      </c>
    </row>
    <row r="109" spans="2:5">
      <c r="B109" s="9" t="s">
        <v>44</v>
      </c>
      <c r="C109" t="s">
        <v>79</v>
      </c>
      <c r="D109" t="s">
        <v>94</v>
      </c>
      <c r="E109" cm="1">
        <f t="array" ref="E109">_xlfn.IFS(B109="S", 200000, B109="A", 160000, B109="B", 130000) * _xlfn.IFS(D109="Entry (L3)", 0.8, D109="Mid (L4)", 1, D109="Senior (L5)", 1.4, D109="Staff (L6)", 1.8, D109="Principal (L7)", 2.5)</f>
        <v>160000</v>
      </c>
    </row>
    <row r="110" spans="2:5">
      <c r="B110" s="9" t="s">
        <v>44</v>
      </c>
      <c r="D110" t="s">
        <v>95</v>
      </c>
      <c r="E110" cm="1">
        <f t="array" ref="E110">_xlfn.IFS(B110="S", 200000, B110="A", 160000, B110="B", 130000) * _xlfn.IFS(D110="Entry (L3)", 0.8, D110="Mid (L4)", 1, D110="Senior (L5)", 1.4, D110="Staff (L6)", 1.8, D110="Principal (L7)", 2.5)</f>
        <v>200000</v>
      </c>
    </row>
    <row r="111" spans="2:5">
      <c r="B111" s="9" t="s">
        <v>44</v>
      </c>
      <c r="D111" t="s">
        <v>98</v>
      </c>
      <c r="E111" cm="1">
        <f t="array" ref="E111">_xlfn.IFS(B111="S", 200000, B111="A", 160000, B111="B", 130000) * _xlfn.IFS(D111="Entry (L3)", 0.8, D111="Mid (L4)", 1, D111="Senior (L5)", 1.4, D111="Staff (L6)", 1.8, D111="Principal (L7)", 2.5)</f>
        <v>280000</v>
      </c>
    </row>
    <row r="112" spans="2:5">
      <c r="B112" s="9" t="s">
        <v>44</v>
      </c>
      <c r="D112" t="s">
        <v>97</v>
      </c>
      <c r="E112" cm="1">
        <f t="array" ref="E112">_xlfn.IFS(B112="S", 200000, B112="A", 160000, B112="B", 130000) * _xlfn.IFS(D112="Entry (L3)", 0.8, D112="Mid (L4)", 1, D112="Senior (L5)", 1.4, D112="Staff (L6)", 1.8, D112="Principal (L7)", 2.5)</f>
        <v>360000</v>
      </c>
    </row>
    <row r="113" spans="2:5">
      <c r="B113" s="9" t="s">
        <v>44</v>
      </c>
      <c r="D113" t="s">
        <v>96</v>
      </c>
      <c r="E113" cm="1">
        <f t="array" ref="E113">_xlfn.IFS(B113="S", 200000, B113="A", 160000, B113="B", 130000) * _xlfn.IFS(D113="Entry (L3)", 0.8, D113="Mid (L4)", 1, D113="Senior (L5)", 1.4, D113="Staff (L6)", 1.8, D113="Principal (L7)", 2.5)</f>
        <v>500000</v>
      </c>
    </row>
    <row r="114" spans="2:5">
      <c r="B114" s="9" t="s">
        <v>44</v>
      </c>
      <c r="C114" t="s">
        <v>80</v>
      </c>
      <c r="D114" t="s">
        <v>94</v>
      </c>
      <c r="E114" cm="1">
        <f t="array" ref="E114">_xlfn.IFS(B114="S", 200000, B114="A", 160000, B114="B", 130000) * _xlfn.IFS(D114="Entry (L3)", 0.8, D114="Mid (L4)", 1, D114="Senior (L5)", 1.4, D114="Staff (L6)", 1.8, D114="Principal (L7)", 2.5)</f>
        <v>160000</v>
      </c>
    </row>
    <row r="115" spans="2:5">
      <c r="B115" s="9" t="s">
        <v>44</v>
      </c>
      <c r="D115" t="s">
        <v>95</v>
      </c>
      <c r="E115" cm="1">
        <f t="array" ref="E115">_xlfn.IFS(B115="S", 200000, B115="A", 160000, B115="B", 130000) * _xlfn.IFS(D115="Entry (L3)", 0.8, D115="Mid (L4)", 1, D115="Senior (L5)", 1.4, D115="Staff (L6)", 1.8, D115="Principal (L7)", 2.5)</f>
        <v>200000</v>
      </c>
    </row>
    <row r="116" spans="2:5">
      <c r="B116" s="9" t="s">
        <v>44</v>
      </c>
      <c r="D116" t="s">
        <v>98</v>
      </c>
      <c r="E116" cm="1">
        <f t="array" ref="E116">_xlfn.IFS(B116="S", 200000, B116="A", 160000, B116="B", 130000) * _xlfn.IFS(D116="Entry (L3)", 0.8, D116="Mid (L4)", 1, D116="Senior (L5)", 1.4, D116="Staff (L6)", 1.8, D116="Principal (L7)", 2.5)</f>
        <v>280000</v>
      </c>
    </row>
    <row r="117" spans="2:5">
      <c r="B117" s="9" t="s">
        <v>44</v>
      </c>
      <c r="D117" t="s">
        <v>97</v>
      </c>
      <c r="E117" cm="1">
        <f t="array" ref="E117">_xlfn.IFS(B117="S", 200000, B117="A", 160000, B117="B", 130000) * _xlfn.IFS(D117="Entry (L3)", 0.8, D117="Mid (L4)", 1, D117="Senior (L5)", 1.4, D117="Staff (L6)", 1.8, D117="Principal (L7)", 2.5)</f>
        <v>360000</v>
      </c>
    </row>
    <row r="118" spans="2:5">
      <c r="B118" s="9" t="s">
        <v>44</v>
      </c>
      <c r="D118" t="s">
        <v>96</v>
      </c>
      <c r="E118" cm="1">
        <f t="array" ref="E118">_xlfn.IFS(B118="S", 200000, B118="A", 160000, B118="B", 130000) * _xlfn.IFS(D118="Entry (L3)", 0.8, D118="Mid (L4)", 1, D118="Senior (L5)", 1.4, D118="Staff (L6)", 1.8, D118="Principal (L7)", 2.5)</f>
        <v>500000</v>
      </c>
    </row>
    <row r="119" spans="2:5">
      <c r="B119" s="9" t="s">
        <v>44</v>
      </c>
      <c r="C119" t="s">
        <v>81</v>
      </c>
      <c r="D119" t="s">
        <v>94</v>
      </c>
      <c r="E119" cm="1">
        <f t="array" ref="E119">_xlfn.IFS(B119="S", 200000, B119="A", 160000, B119="B", 130000) * _xlfn.IFS(D119="Entry (L3)", 0.8, D119="Mid (L4)", 1, D119="Senior (L5)", 1.4, D119="Staff (L6)", 1.8, D119="Principal (L7)", 2.5)</f>
        <v>160000</v>
      </c>
    </row>
    <row r="120" spans="2:5">
      <c r="B120" s="9" t="s">
        <v>44</v>
      </c>
      <c r="D120" t="s">
        <v>95</v>
      </c>
      <c r="E120" cm="1">
        <f t="array" ref="E120">_xlfn.IFS(B120="S", 200000, B120="A", 160000, B120="B", 130000) * _xlfn.IFS(D120="Entry (L3)", 0.8, D120="Mid (L4)", 1, D120="Senior (L5)", 1.4, D120="Staff (L6)", 1.8, D120="Principal (L7)", 2.5)</f>
        <v>200000</v>
      </c>
    </row>
    <row r="121" spans="2:5">
      <c r="B121" s="9" t="s">
        <v>44</v>
      </c>
      <c r="D121" t="s">
        <v>98</v>
      </c>
      <c r="E121" cm="1">
        <f t="array" ref="E121">_xlfn.IFS(B121="S", 200000, B121="A", 160000, B121="B", 130000) * _xlfn.IFS(D121="Entry (L3)", 0.8, D121="Mid (L4)", 1, D121="Senior (L5)", 1.4, D121="Staff (L6)", 1.8, D121="Principal (L7)", 2.5)</f>
        <v>280000</v>
      </c>
    </row>
    <row r="122" spans="2:5">
      <c r="B122" s="9" t="s">
        <v>44</v>
      </c>
      <c r="D122" t="s">
        <v>97</v>
      </c>
      <c r="E122" cm="1">
        <f t="array" ref="E122">_xlfn.IFS(B122="S", 200000, B122="A", 160000, B122="B", 130000) * _xlfn.IFS(D122="Entry (L3)", 0.8, D122="Mid (L4)", 1, D122="Senior (L5)", 1.4, D122="Staff (L6)", 1.8, D122="Principal (L7)", 2.5)</f>
        <v>360000</v>
      </c>
    </row>
    <row r="123" spans="2:5">
      <c r="B123" s="9" t="s">
        <v>44</v>
      </c>
      <c r="D123" t="s">
        <v>96</v>
      </c>
      <c r="E123" cm="1">
        <f t="array" ref="E123">_xlfn.IFS(B123="S", 200000, B123="A", 160000, B123="B", 130000) * _xlfn.IFS(D123="Entry (L3)", 0.8, D123="Mid (L4)", 1, D123="Senior (L5)", 1.4, D123="Staff (L6)", 1.8, D123="Principal (L7)", 2.5)</f>
        <v>500000</v>
      </c>
    </row>
    <row r="124" spans="2:5">
      <c r="B124" s="9" t="s">
        <v>44</v>
      </c>
      <c r="C124" t="s">
        <v>82</v>
      </c>
      <c r="D124" t="s">
        <v>94</v>
      </c>
      <c r="E124" cm="1">
        <f t="array" ref="E124">_xlfn.IFS(B124="S", 200000, B124="A", 160000, B124="B", 130000) * _xlfn.IFS(D124="Entry (L3)", 0.8, D124="Mid (L4)", 1, D124="Senior (L5)", 1.4, D124="Staff (L6)", 1.8, D124="Principal (L7)", 2.5)</f>
        <v>160000</v>
      </c>
    </row>
    <row r="125" spans="2:5">
      <c r="B125" s="9" t="s">
        <v>44</v>
      </c>
      <c r="D125" t="s">
        <v>95</v>
      </c>
      <c r="E125" cm="1">
        <f t="array" ref="E125">_xlfn.IFS(B125="S", 200000, B125="A", 160000, B125="B", 130000) * _xlfn.IFS(D125="Entry (L3)", 0.8, D125="Mid (L4)", 1, D125="Senior (L5)", 1.4, D125="Staff (L6)", 1.8, D125="Principal (L7)", 2.5)</f>
        <v>200000</v>
      </c>
    </row>
    <row r="126" spans="2:5">
      <c r="B126" s="9" t="s">
        <v>44</v>
      </c>
      <c r="D126" t="s">
        <v>98</v>
      </c>
      <c r="E126" cm="1">
        <f t="array" ref="E126">_xlfn.IFS(B126="S", 200000, B126="A", 160000, B126="B", 130000) * _xlfn.IFS(D126="Entry (L3)", 0.8, D126="Mid (L4)", 1, D126="Senior (L5)", 1.4, D126="Staff (L6)", 1.8, D126="Principal (L7)", 2.5)</f>
        <v>280000</v>
      </c>
    </row>
    <row r="127" spans="2:5">
      <c r="B127" s="9" t="s">
        <v>44</v>
      </c>
      <c r="D127" t="s">
        <v>97</v>
      </c>
      <c r="E127" cm="1">
        <f t="array" ref="E127">_xlfn.IFS(B127="S", 200000, B127="A", 160000, B127="B", 130000) * _xlfn.IFS(D127="Entry (L3)", 0.8, D127="Mid (L4)", 1, D127="Senior (L5)", 1.4, D127="Staff (L6)", 1.8, D127="Principal (L7)", 2.5)</f>
        <v>360000</v>
      </c>
    </row>
    <row r="128" spans="2:5">
      <c r="B128" s="9" t="s">
        <v>44</v>
      </c>
      <c r="D128" t="s">
        <v>96</v>
      </c>
      <c r="E128" cm="1">
        <f t="array" ref="E128">_xlfn.IFS(B128="S", 200000, B128="A", 160000, B128="B", 130000) * _xlfn.IFS(D128="Entry (L3)", 0.8, D128="Mid (L4)", 1, D128="Senior (L5)", 1.4, D128="Staff (L6)", 1.8, D128="Principal (L7)", 2.5)</f>
        <v>500000</v>
      </c>
    </row>
    <row r="129" spans="2:5">
      <c r="B129" s="9" t="s">
        <v>44</v>
      </c>
      <c r="C129" t="s">
        <v>83</v>
      </c>
      <c r="D129" t="s">
        <v>94</v>
      </c>
      <c r="E129" cm="1">
        <f t="array" ref="E129">_xlfn.IFS(B129="S", 200000, B129="A", 160000, B129="B", 130000) * _xlfn.IFS(D129="Entry (L3)", 0.8, D129="Mid (L4)", 1, D129="Senior (L5)", 1.4, D129="Staff (L6)", 1.8, D129="Principal (L7)", 2.5)</f>
        <v>160000</v>
      </c>
    </row>
    <row r="130" spans="2:5">
      <c r="B130" s="9" t="s">
        <v>44</v>
      </c>
      <c r="D130" t="s">
        <v>95</v>
      </c>
      <c r="E130" cm="1">
        <f t="array" ref="E130">_xlfn.IFS(B130="S", 200000, B130="A", 160000, B130="B", 130000) * _xlfn.IFS(D130="Entry (L3)", 0.8, D130="Mid (L4)", 1, D130="Senior (L5)", 1.4, D130="Staff (L6)", 1.8, D130="Principal (L7)", 2.5)</f>
        <v>200000</v>
      </c>
    </row>
    <row r="131" spans="2:5">
      <c r="B131" s="9" t="s">
        <v>44</v>
      </c>
      <c r="D131" t="s">
        <v>98</v>
      </c>
      <c r="E131" cm="1">
        <f t="array" ref="E131">_xlfn.IFS(B131="S", 200000, B131="A", 160000, B131="B", 130000) * _xlfn.IFS(D131="Entry (L3)", 0.8, D131="Mid (L4)", 1, D131="Senior (L5)", 1.4, D131="Staff (L6)", 1.8, D131="Principal (L7)", 2.5)</f>
        <v>280000</v>
      </c>
    </row>
    <row r="132" spans="2:5">
      <c r="B132" s="9" t="s">
        <v>44</v>
      </c>
      <c r="D132" t="s">
        <v>97</v>
      </c>
      <c r="E132" cm="1">
        <f t="array" ref="E132">_xlfn.IFS(B132="S", 200000, B132="A", 160000, B132="B", 130000) * _xlfn.IFS(D132="Entry (L3)", 0.8, D132="Mid (L4)", 1, D132="Senior (L5)", 1.4, D132="Staff (L6)", 1.8, D132="Principal (L7)", 2.5)</f>
        <v>360000</v>
      </c>
    </row>
    <row r="133" spans="2:5">
      <c r="B133" s="9" t="s">
        <v>44</v>
      </c>
      <c r="D133" t="s">
        <v>96</v>
      </c>
      <c r="E133" cm="1">
        <f t="array" ref="E133">_xlfn.IFS(B133="S", 200000, B133="A", 160000, B133="B", 130000) * _xlfn.IFS(D133="Entry (L3)", 0.8, D133="Mid (L4)", 1, D133="Senior (L5)", 1.4, D133="Staff (L6)", 1.8, D133="Principal (L7)", 2.5)</f>
        <v>500000</v>
      </c>
    </row>
    <row r="134" spans="2:5">
      <c r="B134" s="9" t="s">
        <v>44</v>
      </c>
      <c r="C134" t="s">
        <v>84</v>
      </c>
      <c r="D134" t="s">
        <v>94</v>
      </c>
      <c r="E134" cm="1">
        <f t="array" ref="E134">_xlfn.IFS(B134="S", 200000, B134="A", 160000, B134="B", 130000) * _xlfn.IFS(D134="Entry (L3)", 0.8, D134="Mid (L4)", 1, D134="Senior (L5)", 1.4, D134="Staff (L6)", 1.8, D134="Principal (L7)", 2.5)</f>
        <v>160000</v>
      </c>
    </row>
    <row r="135" spans="2:5">
      <c r="B135" s="9" t="s">
        <v>44</v>
      </c>
      <c r="D135" t="s">
        <v>95</v>
      </c>
      <c r="E135" cm="1">
        <f t="array" ref="E135">_xlfn.IFS(B135="S", 200000, B135="A", 160000, B135="B", 130000) * _xlfn.IFS(D135="Entry (L3)", 0.8, D135="Mid (L4)", 1, D135="Senior (L5)", 1.4, D135="Staff (L6)", 1.8, D135="Principal (L7)", 2.5)</f>
        <v>200000</v>
      </c>
    </row>
    <row r="136" spans="2:5">
      <c r="B136" s="9" t="s">
        <v>44</v>
      </c>
      <c r="D136" t="s">
        <v>98</v>
      </c>
      <c r="E136" cm="1">
        <f t="array" ref="E136">_xlfn.IFS(B136="S", 200000, B136="A", 160000, B136="B", 130000) * _xlfn.IFS(D136="Entry (L3)", 0.8, D136="Mid (L4)", 1, D136="Senior (L5)", 1.4, D136="Staff (L6)", 1.8, D136="Principal (L7)", 2.5)</f>
        <v>280000</v>
      </c>
    </row>
    <row r="137" spans="2:5">
      <c r="B137" s="9" t="s">
        <v>44</v>
      </c>
      <c r="D137" t="s">
        <v>97</v>
      </c>
      <c r="E137" cm="1">
        <f t="array" ref="E137">_xlfn.IFS(B137="S", 200000, B137="A", 160000, B137="B", 130000) * _xlfn.IFS(D137="Entry (L3)", 0.8, D137="Mid (L4)", 1, D137="Senior (L5)", 1.4, D137="Staff (L6)", 1.8, D137="Principal (L7)", 2.5)</f>
        <v>360000</v>
      </c>
    </row>
    <row r="138" spans="2:5">
      <c r="B138" s="9" t="s">
        <v>44</v>
      </c>
      <c r="D138" t="s">
        <v>96</v>
      </c>
      <c r="E138" cm="1">
        <f t="array" ref="E138">_xlfn.IFS(B138="S", 200000, B138="A", 160000, B138="B", 130000) * _xlfn.IFS(D138="Entry (L3)", 0.8, D138="Mid (L4)", 1, D138="Senior (L5)", 1.4, D138="Staff (L6)", 1.8, D138="Principal (L7)", 2.5)</f>
        <v>500000</v>
      </c>
    </row>
    <row r="139" spans="2:5">
      <c r="B139" s="9" t="s">
        <v>44</v>
      </c>
      <c r="C139" t="s">
        <v>55</v>
      </c>
      <c r="D139" t="s">
        <v>94</v>
      </c>
      <c r="E139" cm="1">
        <f t="array" ref="E139">_xlfn.IFS(B139="S", 200000, B139="A", 160000, B139="B", 130000) * _xlfn.IFS(D139="Entry (L3)", 0.8, D139="Mid (L4)", 1, D139="Senior (L5)", 1.4, D139="Staff (L6)", 1.8, D139="Principal (L7)", 2.5)</f>
        <v>160000</v>
      </c>
    </row>
    <row r="140" spans="2:5">
      <c r="B140" s="9" t="s">
        <v>44</v>
      </c>
      <c r="D140" t="s">
        <v>95</v>
      </c>
      <c r="E140" cm="1">
        <f t="array" ref="E140">_xlfn.IFS(B140="S", 200000, B140="A", 160000, B140="B", 130000) * _xlfn.IFS(D140="Entry (L3)", 0.8, D140="Mid (L4)", 1, D140="Senior (L5)", 1.4, D140="Staff (L6)", 1.8, D140="Principal (L7)", 2.5)</f>
        <v>200000</v>
      </c>
    </row>
    <row r="141" spans="2:5">
      <c r="B141" s="9" t="s">
        <v>44</v>
      </c>
      <c r="D141" t="s">
        <v>98</v>
      </c>
      <c r="E141" cm="1">
        <f t="array" ref="E141">_xlfn.IFS(B141="S", 200000, B141="A", 160000, B141="B", 130000) * _xlfn.IFS(D141="Entry (L3)", 0.8, D141="Mid (L4)", 1, D141="Senior (L5)", 1.4, D141="Staff (L6)", 1.8, D141="Principal (L7)", 2.5)</f>
        <v>280000</v>
      </c>
    </row>
    <row r="142" spans="2:5">
      <c r="B142" s="9" t="s">
        <v>44</v>
      </c>
      <c r="D142" t="s">
        <v>97</v>
      </c>
      <c r="E142" cm="1">
        <f t="array" ref="E142">_xlfn.IFS(B142="S", 200000, B142="A", 160000, B142="B", 130000) * _xlfn.IFS(D142="Entry (L3)", 0.8, D142="Mid (L4)", 1, D142="Senior (L5)", 1.4, D142="Staff (L6)", 1.8, D142="Principal (L7)", 2.5)</f>
        <v>360000</v>
      </c>
    </row>
    <row r="143" spans="2:5">
      <c r="B143" s="9" t="s">
        <v>44</v>
      </c>
      <c r="C143" s="8"/>
      <c r="D143" s="8" t="s">
        <v>96</v>
      </c>
      <c r="E143" cm="1">
        <f t="array" ref="E143">_xlfn.IFS(B143="S", 200000, B143="A", 160000, B143="B", 130000) * _xlfn.IFS(D143="Entry (L3)", 0.8, D143="Mid (L4)", 1, D143="Senior (L5)", 1.4, D143="Staff (L6)", 1.8, D143="Principal (L7)", 2.5)</f>
        <v>500000</v>
      </c>
    </row>
    <row r="144" spans="2:5">
      <c r="B144" s="9" t="s">
        <v>52</v>
      </c>
      <c r="C144" t="s">
        <v>5</v>
      </c>
      <c r="D144" t="s">
        <v>94</v>
      </c>
      <c r="E144">
        <v>147814</v>
      </c>
    </row>
    <row r="145" spans="2:5">
      <c r="B145" s="9" t="s">
        <v>52</v>
      </c>
      <c r="C145" t="s">
        <v>5</v>
      </c>
      <c r="D145" t="s">
        <v>95</v>
      </c>
      <c r="E145">
        <v>191168</v>
      </c>
    </row>
    <row r="146" spans="2:5">
      <c r="B146" s="9" t="s">
        <v>52</v>
      </c>
      <c r="C146" t="s">
        <v>5</v>
      </c>
      <c r="D146" t="s">
        <v>98</v>
      </c>
      <c r="E146">
        <v>256607</v>
      </c>
    </row>
    <row r="147" spans="2:5">
      <c r="B147" s="9" t="s">
        <v>52</v>
      </c>
      <c r="C147" t="s">
        <v>5</v>
      </c>
      <c r="D147" t="s">
        <v>97</v>
      </c>
      <c r="E147">
        <v>409190</v>
      </c>
    </row>
    <row r="148" spans="2:5">
      <c r="B148" s="9" t="s">
        <v>52</v>
      </c>
      <c r="C148" t="s">
        <v>5</v>
      </c>
      <c r="D148" t="s">
        <v>96</v>
      </c>
      <c r="E148">
        <v>432260</v>
      </c>
    </row>
    <row r="149" spans="2:5">
      <c r="B149" s="9" t="s">
        <v>52</v>
      </c>
      <c r="C149" t="s">
        <v>53</v>
      </c>
      <c r="D149" t="s">
        <v>94</v>
      </c>
      <c r="E149" cm="1">
        <f t="array" ref="E149">_xlfn.IFS(B149="S", 200000, B149="A", 160000, B149="B", 130000) * _xlfn.IFS(D149="Entry (L3)", 0.8, D149="Mid (L4)", 1, D149="Senior (L5)", 1.4, D149="Staff (L6)", 1.8, D149="Principal (L7)", 2.5)</f>
        <v>128000</v>
      </c>
    </row>
    <row r="150" spans="2:5">
      <c r="B150" s="9" t="s">
        <v>52</v>
      </c>
      <c r="D150" t="s">
        <v>95</v>
      </c>
      <c r="E150" cm="1">
        <f t="array" ref="E150">_xlfn.IFS(B150="S", 200000, B150="A", 160000, B150="B", 130000) * _xlfn.IFS(D150="Entry (L3)", 0.8, D150="Mid (L4)", 1, D150="Senior (L5)", 1.4, D150="Staff (L6)", 1.8, D150="Principal (L7)", 2.5)</f>
        <v>160000</v>
      </c>
    </row>
    <row r="151" spans="2:5">
      <c r="B151" s="9" t="s">
        <v>52</v>
      </c>
      <c r="D151" t="s">
        <v>98</v>
      </c>
      <c r="E151" cm="1">
        <f t="array" ref="E151">_xlfn.IFS(B151="S", 200000, B151="A", 160000, B151="B", 130000) * _xlfn.IFS(D151="Entry (L3)", 0.8, D151="Mid (L4)", 1, D151="Senior (L5)", 1.4, D151="Staff (L6)", 1.8, D151="Principal (L7)", 2.5)</f>
        <v>224000</v>
      </c>
    </row>
    <row r="152" spans="2:5">
      <c r="B152" s="9" t="s">
        <v>52</v>
      </c>
      <c r="D152" t="s">
        <v>97</v>
      </c>
      <c r="E152" cm="1">
        <f t="array" ref="E152">_xlfn.IFS(B152="S", 200000, B152="A", 160000, B152="B", 130000) * _xlfn.IFS(D152="Entry (L3)", 0.8, D152="Mid (L4)", 1, D152="Senior (L5)", 1.4, D152="Staff (L6)", 1.8, D152="Principal (L7)", 2.5)</f>
        <v>288000</v>
      </c>
    </row>
    <row r="153" spans="2:5">
      <c r="B153" s="9" t="s">
        <v>52</v>
      </c>
      <c r="D153" t="s">
        <v>96</v>
      </c>
      <c r="E153" cm="1">
        <f t="array" ref="E153">_xlfn.IFS(B153="S", 200000, B153="A", 160000, B153="B", 130000) * _xlfn.IFS(D153="Entry (L3)", 0.8, D153="Mid (L4)", 1, D153="Senior (L5)", 1.4, D153="Staff (L6)", 1.8, D153="Principal (L7)", 2.5)</f>
        <v>400000</v>
      </c>
    </row>
    <row r="154" spans="2:5">
      <c r="B154" s="9" t="s">
        <v>52</v>
      </c>
      <c r="C154" t="s">
        <v>85</v>
      </c>
      <c r="D154" t="s">
        <v>94</v>
      </c>
      <c r="E154" cm="1">
        <f t="array" ref="E154">_xlfn.IFS(B154="S", 200000, B154="A", 160000, B154="B", 130000) * _xlfn.IFS(D154="Entry (L3)", 0.8, D154="Mid (L4)", 1, D154="Senior (L5)", 1.4, D154="Staff (L6)", 1.8, D154="Principal (L7)", 2.5)</f>
        <v>128000</v>
      </c>
    </row>
    <row r="155" spans="2:5">
      <c r="B155" s="9" t="s">
        <v>52</v>
      </c>
      <c r="D155" t="s">
        <v>95</v>
      </c>
      <c r="E155" cm="1">
        <f t="array" ref="E155">_xlfn.IFS(B155="S", 200000, B155="A", 160000, B155="B", 130000) * _xlfn.IFS(D155="Entry (L3)", 0.8, D155="Mid (L4)", 1, D155="Senior (L5)", 1.4, D155="Staff (L6)", 1.8, D155="Principal (L7)", 2.5)</f>
        <v>160000</v>
      </c>
    </row>
    <row r="156" spans="2:5">
      <c r="B156" s="9" t="s">
        <v>52</v>
      </c>
      <c r="D156" t="s">
        <v>98</v>
      </c>
      <c r="E156" cm="1">
        <f t="array" ref="E156">_xlfn.IFS(B156="S", 200000, B156="A", 160000, B156="B", 130000) * _xlfn.IFS(D156="Entry (L3)", 0.8, D156="Mid (L4)", 1, D156="Senior (L5)", 1.4, D156="Staff (L6)", 1.8, D156="Principal (L7)", 2.5)</f>
        <v>224000</v>
      </c>
    </row>
    <row r="157" spans="2:5">
      <c r="B157" s="9" t="s">
        <v>52</v>
      </c>
      <c r="D157" t="s">
        <v>97</v>
      </c>
      <c r="E157" cm="1">
        <f t="array" ref="E157">_xlfn.IFS(B157="S", 200000, B157="A", 160000, B157="B", 130000) * _xlfn.IFS(D157="Entry (L3)", 0.8, D157="Mid (L4)", 1, D157="Senior (L5)", 1.4, D157="Staff (L6)", 1.8, D157="Principal (L7)", 2.5)</f>
        <v>288000</v>
      </c>
    </row>
    <row r="158" spans="2:5">
      <c r="B158" s="9" t="s">
        <v>52</v>
      </c>
      <c r="D158" t="s">
        <v>96</v>
      </c>
      <c r="E158" cm="1">
        <f t="array" ref="E158">_xlfn.IFS(B158="S", 200000, B158="A", 160000, B158="B", 130000) * _xlfn.IFS(D158="Entry (L3)", 0.8, D158="Mid (L4)", 1, D158="Senior (L5)", 1.4, D158="Staff (L6)", 1.8, D158="Principal (L7)", 2.5)</f>
        <v>400000</v>
      </c>
    </row>
    <row r="159" spans="2:5">
      <c r="B159" s="9" t="s">
        <v>52</v>
      </c>
      <c r="C159" t="s">
        <v>57</v>
      </c>
      <c r="D159" t="s">
        <v>94</v>
      </c>
      <c r="E159" cm="1">
        <f t="array" ref="E159">_xlfn.IFS(B159="S", 200000, B159="A", 160000, B159="B", 130000) * _xlfn.IFS(D159="Entry (L3)", 0.8, D159="Mid (L4)", 1, D159="Senior (L5)", 1.4, D159="Staff (L6)", 1.8, D159="Principal (L7)", 2.5)</f>
        <v>128000</v>
      </c>
    </row>
    <row r="160" spans="2:5">
      <c r="B160" s="9" t="s">
        <v>52</v>
      </c>
      <c r="D160" t="s">
        <v>95</v>
      </c>
      <c r="E160" cm="1">
        <f t="array" ref="E160">_xlfn.IFS(B160="S", 200000, B160="A", 160000, B160="B", 130000) * _xlfn.IFS(D160="Entry (L3)", 0.8, D160="Mid (L4)", 1, D160="Senior (L5)", 1.4, D160="Staff (L6)", 1.8, D160="Principal (L7)", 2.5)</f>
        <v>160000</v>
      </c>
    </row>
    <row r="161" spans="2:5">
      <c r="B161" s="9" t="s">
        <v>52</v>
      </c>
      <c r="D161" t="s">
        <v>98</v>
      </c>
      <c r="E161" cm="1">
        <f t="array" ref="E161">_xlfn.IFS(B161="S", 200000, B161="A", 160000, B161="B", 130000) * _xlfn.IFS(D161="Entry (L3)", 0.8, D161="Mid (L4)", 1, D161="Senior (L5)", 1.4, D161="Staff (L6)", 1.8, D161="Principal (L7)", 2.5)</f>
        <v>224000</v>
      </c>
    </row>
    <row r="162" spans="2:5">
      <c r="B162" s="9" t="s">
        <v>52</v>
      </c>
      <c r="D162" t="s">
        <v>97</v>
      </c>
      <c r="E162" cm="1">
        <f t="array" ref="E162">_xlfn.IFS(B162="S", 200000, B162="A", 160000, B162="B", 130000) * _xlfn.IFS(D162="Entry (L3)", 0.8, D162="Mid (L4)", 1, D162="Senior (L5)", 1.4, D162="Staff (L6)", 1.8, D162="Principal (L7)", 2.5)</f>
        <v>288000</v>
      </c>
    </row>
    <row r="163" spans="2:5">
      <c r="B163" s="9" t="s">
        <v>52</v>
      </c>
      <c r="D163" t="s">
        <v>96</v>
      </c>
      <c r="E163" cm="1">
        <f t="array" ref="E163">_xlfn.IFS(B163="S", 200000, B163="A", 160000, B163="B", 130000) * _xlfn.IFS(D163="Entry (L3)", 0.8, D163="Mid (L4)", 1, D163="Senior (L5)", 1.4, D163="Staff (L6)", 1.8, D163="Principal (L7)", 2.5)</f>
        <v>400000</v>
      </c>
    </row>
    <row r="164" spans="2:5">
      <c r="B164" s="9" t="s">
        <v>52</v>
      </c>
      <c r="C164" t="s">
        <v>62</v>
      </c>
      <c r="D164" t="s">
        <v>94</v>
      </c>
      <c r="E164" cm="1">
        <f t="array" ref="E164">_xlfn.IFS(B164="S", 200000, B164="A", 160000, B164="B", 130000) * _xlfn.IFS(D164="Entry (L3)", 0.8, D164="Mid (L4)", 1, D164="Senior (L5)", 1.4, D164="Staff (L6)", 1.8, D164="Principal (L7)", 2.5)</f>
        <v>128000</v>
      </c>
    </row>
    <row r="165" spans="2:5">
      <c r="B165" s="9" t="s">
        <v>52</v>
      </c>
      <c r="D165" t="s">
        <v>95</v>
      </c>
      <c r="E165" cm="1">
        <f t="array" ref="E165">_xlfn.IFS(B165="S", 200000, B165="A", 160000, B165="B", 130000) * _xlfn.IFS(D165="Entry (L3)", 0.8, D165="Mid (L4)", 1, D165="Senior (L5)", 1.4, D165="Staff (L6)", 1.8, D165="Principal (L7)", 2.5)</f>
        <v>160000</v>
      </c>
    </row>
    <row r="166" spans="2:5">
      <c r="B166" s="9" t="s">
        <v>52</v>
      </c>
      <c r="D166" t="s">
        <v>98</v>
      </c>
      <c r="E166" cm="1">
        <f t="array" ref="E166">_xlfn.IFS(B166="S", 200000, B166="A", 160000, B166="B", 130000) * _xlfn.IFS(D166="Entry (L3)", 0.8, D166="Mid (L4)", 1, D166="Senior (L5)", 1.4, D166="Staff (L6)", 1.8, D166="Principal (L7)", 2.5)</f>
        <v>224000</v>
      </c>
    </row>
    <row r="167" spans="2:5">
      <c r="B167" s="9" t="s">
        <v>52</v>
      </c>
      <c r="D167" t="s">
        <v>97</v>
      </c>
      <c r="E167" cm="1">
        <f t="array" ref="E167">_xlfn.IFS(B167="S", 200000, B167="A", 160000, B167="B", 130000) * _xlfn.IFS(D167="Entry (L3)", 0.8, D167="Mid (L4)", 1, D167="Senior (L5)", 1.4, D167="Staff (L6)", 1.8, D167="Principal (L7)", 2.5)</f>
        <v>288000</v>
      </c>
    </row>
    <row r="168" spans="2:5">
      <c r="B168" s="9" t="s">
        <v>52</v>
      </c>
      <c r="D168" t="s">
        <v>96</v>
      </c>
      <c r="E168" cm="1">
        <f t="array" ref="E168">_xlfn.IFS(B168="S", 200000, B168="A", 160000, B168="B", 130000) * _xlfn.IFS(D168="Entry (L3)", 0.8, D168="Mid (L4)", 1, D168="Senior (L5)", 1.4, D168="Staff (L6)", 1.8, D168="Principal (L7)", 2.5)</f>
        <v>400000</v>
      </c>
    </row>
    <row r="169" spans="2:5">
      <c r="B169" s="9" t="s">
        <v>52</v>
      </c>
      <c r="C169" t="s">
        <v>63</v>
      </c>
      <c r="D169" t="s">
        <v>94</v>
      </c>
      <c r="E169" cm="1">
        <f t="array" ref="E169">_xlfn.IFS(B169="S", 200000, B169="A", 160000, B169="B", 130000) * _xlfn.IFS(D169="Entry (L3)", 0.8, D169="Mid (L4)", 1, D169="Senior (L5)", 1.4, D169="Staff (L6)", 1.8, D169="Principal (L7)", 2.5)</f>
        <v>128000</v>
      </c>
    </row>
    <row r="170" spans="2:5">
      <c r="B170" s="9" t="s">
        <v>52</v>
      </c>
      <c r="D170" t="s">
        <v>95</v>
      </c>
      <c r="E170" cm="1">
        <f t="array" ref="E170">_xlfn.IFS(B170="S", 200000, B170="A", 160000, B170="B", 130000) * _xlfn.IFS(D170="Entry (L3)", 0.8, D170="Mid (L4)", 1, D170="Senior (L5)", 1.4, D170="Staff (L6)", 1.8, D170="Principal (L7)", 2.5)</f>
        <v>160000</v>
      </c>
    </row>
    <row r="171" spans="2:5">
      <c r="B171" s="9" t="s">
        <v>52</v>
      </c>
      <c r="D171" t="s">
        <v>98</v>
      </c>
      <c r="E171" cm="1">
        <f t="array" ref="E171">_xlfn.IFS(B171="S", 200000, B171="A", 160000, B171="B", 130000) * _xlfn.IFS(D171="Entry (L3)", 0.8, D171="Mid (L4)", 1, D171="Senior (L5)", 1.4, D171="Staff (L6)", 1.8, D171="Principal (L7)", 2.5)</f>
        <v>224000</v>
      </c>
    </row>
    <row r="172" spans="2:5">
      <c r="B172" s="9" t="s">
        <v>52</v>
      </c>
      <c r="D172" t="s">
        <v>97</v>
      </c>
      <c r="E172" cm="1">
        <f t="array" ref="E172">_xlfn.IFS(B172="S", 200000, B172="A", 160000, B172="B", 130000) * _xlfn.IFS(D172="Entry (L3)", 0.8, D172="Mid (L4)", 1, D172="Senior (L5)", 1.4, D172="Staff (L6)", 1.8, D172="Principal (L7)", 2.5)</f>
        <v>288000</v>
      </c>
    </row>
    <row r="173" spans="2:5">
      <c r="B173" s="9" t="s">
        <v>52</v>
      </c>
      <c r="D173" t="s">
        <v>96</v>
      </c>
      <c r="E173" cm="1">
        <f t="array" ref="E173">_xlfn.IFS(B173="S", 200000, B173="A", 160000, B173="B", 130000) * _xlfn.IFS(D173="Entry (L3)", 0.8, D173="Mid (L4)", 1, D173="Senior (L5)", 1.4, D173="Staff (L6)", 1.8, D173="Principal (L7)", 2.5)</f>
        <v>400000</v>
      </c>
    </row>
    <row r="174" spans="2:5">
      <c r="B174" s="9" t="s">
        <v>52</v>
      </c>
      <c r="C174" t="s">
        <v>64</v>
      </c>
      <c r="D174" t="s">
        <v>94</v>
      </c>
      <c r="E174" cm="1">
        <f t="array" ref="E174">_xlfn.IFS(B174="S", 200000, B174="A", 160000, B174="B", 130000) * _xlfn.IFS(D174="Entry (L3)", 0.8, D174="Mid (L4)", 1, D174="Senior (L5)", 1.4, D174="Staff (L6)", 1.8, D174="Principal (L7)", 2.5)</f>
        <v>128000</v>
      </c>
    </row>
    <row r="175" spans="2:5">
      <c r="B175" s="9" t="s">
        <v>52</v>
      </c>
      <c r="D175" t="s">
        <v>95</v>
      </c>
      <c r="E175" cm="1">
        <f t="array" ref="E175">_xlfn.IFS(B175="S", 200000, B175="A", 160000, B175="B", 130000) * _xlfn.IFS(D175="Entry (L3)", 0.8, D175="Mid (L4)", 1, D175="Senior (L5)", 1.4, D175="Staff (L6)", 1.8, D175="Principal (L7)", 2.5)</f>
        <v>160000</v>
      </c>
    </row>
    <row r="176" spans="2:5">
      <c r="B176" s="9" t="s">
        <v>52</v>
      </c>
      <c r="D176" t="s">
        <v>98</v>
      </c>
      <c r="E176" cm="1">
        <f t="array" ref="E176">_xlfn.IFS(B176="S", 200000, B176="A", 160000, B176="B", 130000) * _xlfn.IFS(D176="Entry (L3)", 0.8, D176="Mid (L4)", 1, D176="Senior (L5)", 1.4, D176="Staff (L6)", 1.8, D176="Principal (L7)", 2.5)</f>
        <v>224000</v>
      </c>
    </row>
    <row r="177" spans="2:5">
      <c r="B177" s="9" t="s">
        <v>52</v>
      </c>
      <c r="D177" t="s">
        <v>97</v>
      </c>
      <c r="E177" cm="1">
        <f t="array" ref="E177">_xlfn.IFS(B177="S", 200000, B177="A", 160000, B177="B", 130000) * _xlfn.IFS(D177="Entry (L3)", 0.8, D177="Mid (L4)", 1, D177="Senior (L5)", 1.4, D177="Staff (L6)", 1.8, D177="Principal (L7)", 2.5)</f>
        <v>288000</v>
      </c>
    </row>
    <row r="178" spans="2:5">
      <c r="B178" s="9" t="s">
        <v>52</v>
      </c>
      <c r="D178" t="s">
        <v>96</v>
      </c>
      <c r="E178" cm="1">
        <f t="array" ref="E178">_xlfn.IFS(B178="S", 200000, B178="A", 160000, B178="B", 130000) * _xlfn.IFS(D178="Entry (L3)", 0.8, D178="Mid (L4)", 1, D178="Senior (L5)", 1.4, D178="Staff (L6)", 1.8, D178="Principal (L7)", 2.5)</f>
        <v>400000</v>
      </c>
    </row>
    <row r="179" spans="2:5">
      <c r="B179" s="9" t="s">
        <v>52</v>
      </c>
      <c r="C179" t="s">
        <v>61</v>
      </c>
      <c r="D179" t="s">
        <v>94</v>
      </c>
      <c r="E179" cm="1">
        <f t="array" ref="E179">_xlfn.IFS(B179="S", 200000, B179="A", 160000, B179="B", 130000) * _xlfn.IFS(D179="Entry (L3)", 0.8, D179="Mid (L4)", 1, D179="Senior (L5)", 1.4, D179="Staff (L6)", 1.8, D179="Principal (L7)", 2.5)</f>
        <v>128000</v>
      </c>
    </row>
    <row r="180" spans="2:5">
      <c r="B180" s="9" t="s">
        <v>52</v>
      </c>
      <c r="D180" t="s">
        <v>95</v>
      </c>
      <c r="E180" cm="1">
        <f t="array" ref="E180">_xlfn.IFS(B180="S", 200000, B180="A", 160000, B180="B", 130000) * _xlfn.IFS(D180="Entry (L3)", 0.8, D180="Mid (L4)", 1, D180="Senior (L5)", 1.4, D180="Staff (L6)", 1.8, D180="Principal (L7)", 2.5)</f>
        <v>160000</v>
      </c>
    </row>
    <row r="181" spans="2:5">
      <c r="B181" s="9" t="s">
        <v>52</v>
      </c>
      <c r="D181" t="s">
        <v>98</v>
      </c>
      <c r="E181" cm="1">
        <f t="array" ref="E181">_xlfn.IFS(B181="S", 200000, B181="A", 160000, B181="B", 130000) * _xlfn.IFS(D181="Entry (L3)", 0.8, D181="Mid (L4)", 1, D181="Senior (L5)", 1.4, D181="Staff (L6)", 1.8, D181="Principal (L7)", 2.5)</f>
        <v>224000</v>
      </c>
    </row>
    <row r="182" spans="2:5">
      <c r="B182" s="9" t="s">
        <v>52</v>
      </c>
      <c r="D182" t="s">
        <v>97</v>
      </c>
      <c r="E182" cm="1">
        <f t="array" ref="E182">_xlfn.IFS(B182="S", 200000, B182="A", 160000, B182="B", 130000) * _xlfn.IFS(D182="Entry (L3)", 0.8, D182="Mid (L4)", 1, D182="Senior (L5)", 1.4, D182="Staff (L6)", 1.8, D182="Principal (L7)", 2.5)</f>
        <v>288000</v>
      </c>
    </row>
    <row r="183" spans="2:5">
      <c r="B183" s="9" t="s">
        <v>52</v>
      </c>
      <c r="D183" t="s">
        <v>96</v>
      </c>
      <c r="E183" cm="1">
        <f t="array" ref="E183">_xlfn.IFS(B183="S", 200000, B183="A", 160000, B183="B", 130000) * _xlfn.IFS(D183="Entry (L3)", 0.8, D183="Mid (L4)", 1, D183="Senior (L5)", 1.4, D183="Staff (L6)", 1.8, D183="Principal (L7)", 2.5)</f>
        <v>400000</v>
      </c>
    </row>
    <row r="184" spans="2:5">
      <c r="B184" s="9" t="s">
        <v>52</v>
      </c>
      <c r="C184" t="s">
        <v>86</v>
      </c>
      <c r="D184" t="s">
        <v>94</v>
      </c>
      <c r="E184" cm="1">
        <f t="array" ref="E184">_xlfn.IFS(B184="S", 200000, B184="A", 160000, B184="B", 130000) * _xlfn.IFS(D184="Entry (L3)", 0.8, D184="Mid (L4)", 1, D184="Senior (L5)", 1.4, D184="Staff (L6)", 1.8, D184="Principal (L7)", 2.5)</f>
        <v>128000</v>
      </c>
    </row>
    <row r="185" spans="2:5">
      <c r="B185" s="9" t="s">
        <v>52</v>
      </c>
      <c r="D185" t="s">
        <v>95</v>
      </c>
      <c r="E185" cm="1">
        <f t="array" ref="E185">_xlfn.IFS(B185="S", 200000, B185="A", 160000, B185="B", 130000) * _xlfn.IFS(D185="Entry (L3)", 0.8, D185="Mid (L4)", 1, D185="Senior (L5)", 1.4, D185="Staff (L6)", 1.8, D185="Principal (L7)", 2.5)</f>
        <v>160000</v>
      </c>
    </row>
    <row r="186" spans="2:5">
      <c r="B186" s="9" t="s">
        <v>52</v>
      </c>
      <c r="D186" t="s">
        <v>98</v>
      </c>
      <c r="E186" cm="1">
        <f t="array" ref="E186">_xlfn.IFS(B186="S", 200000, B186="A", 160000, B186="B", 130000) * _xlfn.IFS(D186="Entry (L3)", 0.8, D186="Mid (L4)", 1, D186="Senior (L5)", 1.4, D186="Staff (L6)", 1.8, D186="Principal (L7)", 2.5)</f>
        <v>224000</v>
      </c>
    </row>
    <row r="187" spans="2:5">
      <c r="B187" s="9" t="s">
        <v>52</v>
      </c>
      <c r="D187" t="s">
        <v>97</v>
      </c>
      <c r="E187" cm="1">
        <f t="array" ref="E187">_xlfn.IFS(B187="S", 200000, B187="A", 160000, B187="B", 130000) * _xlfn.IFS(D187="Entry (L3)", 0.8, D187="Mid (L4)", 1, D187="Senior (L5)", 1.4, D187="Staff (L6)", 1.8, D187="Principal (L7)", 2.5)</f>
        <v>288000</v>
      </c>
    </row>
    <row r="188" spans="2:5">
      <c r="B188" s="9" t="s">
        <v>52</v>
      </c>
      <c r="D188" t="s">
        <v>96</v>
      </c>
      <c r="E188" cm="1">
        <f t="array" ref="E188">_xlfn.IFS(B188="S", 200000, B188="A", 160000, B188="B", 130000) * _xlfn.IFS(D188="Entry (L3)", 0.8, D188="Mid (L4)", 1, D188="Senior (L5)", 1.4, D188="Staff (L6)", 1.8, D188="Principal (L7)", 2.5)</f>
        <v>400000</v>
      </c>
    </row>
    <row r="189" spans="2:5">
      <c r="B189" s="9" t="s">
        <v>52</v>
      </c>
      <c r="C189" t="s">
        <v>87</v>
      </c>
      <c r="D189" t="s">
        <v>94</v>
      </c>
      <c r="E189" cm="1">
        <f t="array" ref="E189">_xlfn.IFS(B189="S", 200000, B189="A", 160000, B189="B", 130000) * _xlfn.IFS(D189="Entry (L3)", 0.8, D189="Mid (L4)", 1, D189="Senior (L5)", 1.4, D189="Staff (L6)", 1.8, D189="Principal (L7)", 2.5)</f>
        <v>128000</v>
      </c>
    </row>
    <row r="190" spans="2:5">
      <c r="B190" s="9" t="s">
        <v>52</v>
      </c>
      <c r="D190" t="s">
        <v>95</v>
      </c>
      <c r="E190" cm="1">
        <f t="array" ref="E190">_xlfn.IFS(B190="S", 200000, B190="A", 160000, B190="B", 130000) * _xlfn.IFS(D190="Entry (L3)", 0.8, D190="Mid (L4)", 1, D190="Senior (L5)", 1.4, D190="Staff (L6)", 1.8, D190="Principal (L7)", 2.5)</f>
        <v>160000</v>
      </c>
    </row>
    <row r="191" spans="2:5">
      <c r="B191" s="9" t="s">
        <v>52</v>
      </c>
      <c r="D191" t="s">
        <v>98</v>
      </c>
      <c r="E191" cm="1">
        <f t="array" ref="E191">_xlfn.IFS(B191="S", 200000, B191="A", 160000, B191="B", 130000) * _xlfn.IFS(D191="Entry (L3)", 0.8, D191="Mid (L4)", 1, D191="Senior (L5)", 1.4, D191="Staff (L6)", 1.8, D191="Principal (L7)", 2.5)</f>
        <v>224000</v>
      </c>
    </row>
    <row r="192" spans="2:5">
      <c r="B192" s="9" t="s">
        <v>52</v>
      </c>
      <c r="D192" t="s">
        <v>97</v>
      </c>
      <c r="E192" cm="1">
        <f t="array" ref="E192">_xlfn.IFS(B192="S", 200000, B192="A", 160000, B192="B", 130000) * _xlfn.IFS(D192="Entry (L3)", 0.8, D192="Mid (L4)", 1, D192="Senior (L5)", 1.4, D192="Staff (L6)", 1.8, D192="Principal (L7)", 2.5)</f>
        <v>288000</v>
      </c>
    </row>
    <row r="193" spans="2:5">
      <c r="B193" s="9" t="s">
        <v>52</v>
      </c>
      <c r="D193" t="s">
        <v>96</v>
      </c>
      <c r="E193" cm="1">
        <f t="array" ref="E193">_xlfn.IFS(B193="S", 200000, B193="A", 160000, B193="B", 130000) * _xlfn.IFS(D193="Entry (L3)", 0.8, D193="Mid (L4)", 1, D193="Senior (L5)", 1.4, D193="Staff (L6)", 1.8, D193="Principal (L7)", 2.5)</f>
        <v>400000</v>
      </c>
    </row>
    <row r="194" spans="2:5">
      <c r="B194" s="9" t="s">
        <v>52</v>
      </c>
      <c r="C194" t="s">
        <v>89</v>
      </c>
      <c r="D194" t="s">
        <v>94</v>
      </c>
      <c r="E194" cm="1">
        <f t="array" ref="E194">_xlfn.IFS(B194="S", 200000, B194="A", 160000, B194="B", 130000) * _xlfn.IFS(D194="Entry (L3)", 0.8, D194="Mid (L4)", 1, D194="Senior (L5)", 1.4, D194="Staff (L6)", 1.8, D194="Principal (L7)", 2.5)</f>
        <v>128000</v>
      </c>
    </row>
    <row r="195" spans="2:5">
      <c r="B195" s="9" t="s">
        <v>52</v>
      </c>
      <c r="D195" t="s">
        <v>95</v>
      </c>
      <c r="E195" cm="1">
        <f t="array" ref="E195">_xlfn.IFS(B195="S", 200000, B195="A", 160000, B195="B", 130000) * _xlfn.IFS(D195="Entry (L3)", 0.8, D195="Mid (L4)", 1, D195="Senior (L5)", 1.4, D195="Staff (L6)", 1.8, D195="Principal (L7)", 2.5)</f>
        <v>160000</v>
      </c>
    </row>
    <row r="196" spans="2:5">
      <c r="B196" s="9" t="s">
        <v>52</v>
      </c>
      <c r="D196" t="s">
        <v>98</v>
      </c>
      <c r="E196" cm="1">
        <f t="array" ref="E196">_xlfn.IFS(B196="S", 200000, B196="A", 160000, B196="B", 130000) * _xlfn.IFS(D196="Entry (L3)", 0.8, D196="Mid (L4)", 1, D196="Senior (L5)", 1.4, D196="Staff (L6)", 1.8, D196="Principal (L7)", 2.5)</f>
        <v>224000</v>
      </c>
    </row>
    <row r="197" spans="2:5">
      <c r="B197" s="9" t="s">
        <v>52</v>
      </c>
      <c r="D197" t="s">
        <v>97</v>
      </c>
      <c r="E197" cm="1">
        <f t="array" ref="E197">_xlfn.IFS(B197="S", 200000, B197="A", 160000, B197="B", 130000) * _xlfn.IFS(D197="Entry (L3)", 0.8, D197="Mid (L4)", 1, D197="Senior (L5)", 1.4, D197="Staff (L6)", 1.8, D197="Principal (L7)", 2.5)</f>
        <v>288000</v>
      </c>
    </row>
    <row r="198" spans="2:5">
      <c r="B198" s="9" t="s">
        <v>52</v>
      </c>
      <c r="D198" t="s">
        <v>96</v>
      </c>
      <c r="E198" cm="1">
        <f t="array" ref="E198">_xlfn.IFS(B198="S", 200000, B198="A", 160000, B198="B", 130000) * _xlfn.IFS(D198="Entry (L3)", 0.8, D198="Mid (L4)", 1, D198="Senior (L5)", 1.4, D198="Staff (L6)", 1.8, D198="Principal (L7)", 2.5)</f>
        <v>400000</v>
      </c>
    </row>
    <row r="199" spans="2:5">
      <c r="B199" s="9" t="s">
        <v>52</v>
      </c>
      <c r="C199" t="s">
        <v>90</v>
      </c>
      <c r="D199" t="s">
        <v>94</v>
      </c>
      <c r="E199" cm="1">
        <f t="array" ref="E199">_xlfn.IFS(B199="S", 200000, B199="A", 160000, B199="B", 130000) * _xlfn.IFS(D199="Entry (L3)", 0.8, D199="Mid (L4)", 1, D199="Senior (L5)", 1.4, D199="Staff (L6)", 1.8, D199="Principal (L7)", 2.5)</f>
        <v>128000</v>
      </c>
    </row>
    <row r="200" spans="2:5">
      <c r="B200" s="9" t="s">
        <v>52</v>
      </c>
      <c r="D200" t="s">
        <v>95</v>
      </c>
      <c r="E200" cm="1">
        <f t="array" ref="E200">_xlfn.IFS(B200="S", 200000, B200="A", 160000, B200="B", 130000) * _xlfn.IFS(D200="Entry (L3)", 0.8, D200="Mid (L4)", 1, D200="Senior (L5)", 1.4, D200="Staff (L6)", 1.8, D200="Principal (L7)", 2.5)</f>
        <v>160000</v>
      </c>
    </row>
    <row r="201" spans="2:5">
      <c r="B201" s="9" t="s">
        <v>52</v>
      </c>
      <c r="D201" t="s">
        <v>98</v>
      </c>
      <c r="E201" cm="1">
        <f t="array" ref="E201">_xlfn.IFS(B201="S", 200000, B201="A", 160000, B201="B", 130000) * _xlfn.IFS(D201="Entry (L3)", 0.8, D201="Mid (L4)", 1, D201="Senior (L5)", 1.4, D201="Staff (L6)", 1.8, D201="Principal (L7)", 2.5)</f>
        <v>224000</v>
      </c>
    </row>
    <row r="202" spans="2:5">
      <c r="B202" s="9" t="s">
        <v>52</v>
      </c>
      <c r="D202" t="s">
        <v>97</v>
      </c>
      <c r="E202" cm="1">
        <f t="array" ref="E202">_xlfn.IFS(B202="S", 200000, B202="A", 160000, B202="B", 130000) * _xlfn.IFS(D202="Entry (L3)", 0.8, D202="Mid (L4)", 1, D202="Senior (L5)", 1.4, D202="Staff (L6)", 1.8, D202="Principal (L7)", 2.5)</f>
        <v>288000</v>
      </c>
    </row>
    <row r="203" spans="2:5">
      <c r="B203" s="9" t="s">
        <v>52</v>
      </c>
      <c r="C203" s="8"/>
      <c r="D203" s="8" t="s">
        <v>96</v>
      </c>
      <c r="E203" cm="1">
        <f t="array" ref="E203">_xlfn.IFS(B203="S", 200000, B203="A", 160000, B203="B", 130000) * _xlfn.IFS(D203="Entry (L3)", 0.8, D203="Mid (L4)", 1, D203="Senior (L5)", 1.4, D203="Staff (L6)", 1.8, D203="Principal (L7)", 2.5)</f>
        <v>400000</v>
      </c>
    </row>
    <row r="204" spans="2:5">
      <c r="B204" s="9" t="s">
        <v>93</v>
      </c>
      <c r="C204" t="s">
        <v>92</v>
      </c>
      <c r="D204" t="s">
        <v>94</v>
      </c>
      <c r="E204" cm="1">
        <f t="array" ref="E204">_xlfn.IFS(B204="S", 200000, B204="A", 160000, B204="B", 130000) * _xlfn.IFS(D204="Entry (L3)", 0.8, D204="Mid (L4)", 1, D204="Senior (L5)", 1.4, D204="Staff (L6)", 1.8, D204="Principal (L7)", 2.5)</f>
        <v>104000</v>
      </c>
    </row>
    <row r="205" spans="2:5">
      <c r="B205" s="9" t="s">
        <v>93</v>
      </c>
      <c r="D205" t="s">
        <v>95</v>
      </c>
      <c r="E205" cm="1">
        <f t="array" ref="E205">_xlfn.IFS(B205="S", 200000, B205="A", 160000, B205="B", 130000) * _xlfn.IFS(D205="Entry (L3)", 0.8, D205="Mid (L4)", 1, D205="Senior (L5)", 1.4, D205="Staff (L6)", 1.8, D205="Principal (L7)", 2.5)</f>
        <v>130000</v>
      </c>
    </row>
    <row r="206" spans="2:5">
      <c r="B206" s="9" t="s">
        <v>93</v>
      </c>
      <c r="D206" t="s">
        <v>98</v>
      </c>
      <c r="E206" cm="1">
        <f t="array" ref="E206">_xlfn.IFS(B206="S", 200000, B206="A", 160000, B206="B", 130000) * _xlfn.IFS(D206="Entry (L3)", 0.8, D206="Mid (L4)", 1, D206="Senior (L5)", 1.4, D206="Staff (L6)", 1.8, D206="Principal (L7)", 2.5)</f>
        <v>182000</v>
      </c>
    </row>
    <row r="207" spans="2:5">
      <c r="B207" s="9" t="s">
        <v>93</v>
      </c>
      <c r="D207" t="s">
        <v>97</v>
      </c>
      <c r="E207" cm="1">
        <f t="array" ref="E207">_xlfn.IFS(B207="S", 200000, B207="A", 160000, B207="B", 130000) * _xlfn.IFS(D207="Entry (L3)", 0.8, D207="Mid (L4)", 1, D207="Senior (L5)", 1.4, D207="Staff (L6)", 1.8, D207="Principal (L7)", 2.5)</f>
        <v>234000</v>
      </c>
    </row>
    <row r="208" spans="2:5">
      <c r="B208" s="9" t="s">
        <v>93</v>
      </c>
      <c r="D208" t="s">
        <v>96</v>
      </c>
      <c r="E208" cm="1">
        <f t="array" ref="E208">_xlfn.IFS(B208="S", 200000, B208="A", 160000, B208="B", 130000) * _xlfn.IFS(D208="Entry (L3)", 0.8, D208="Mid (L4)", 1, D208="Senior (L5)", 1.4, D208="Staff (L6)", 1.8, D208="Principal (L7)", 2.5)</f>
        <v>325000</v>
      </c>
    </row>
    <row r="209" spans="2:5">
      <c r="B209" s="9" t="s">
        <v>93</v>
      </c>
      <c r="C209" t="s">
        <v>91</v>
      </c>
      <c r="D209" t="s">
        <v>94</v>
      </c>
      <c r="E209" cm="1">
        <f t="array" ref="E209">_xlfn.IFS(B209="S", 200000, B209="A", 160000, B209="B", 130000) * _xlfn.IFS(D209="Entry (L3)", 0.8, D209="Mid (L4)", 1, D209="Senior (L5)", 1.4, D209="Staff (L6)", 1.8, D209="Principal (L7)", 2.5)</f>
        <v>104000</v>
      </c>
    </row>
    <row r="210" spans="2:5">
      <c r="B210" s="9" t="s">
        <v>93</v>
      </c>
      <c r="D210" t="s">
        <v>95</v>
      </c>
      <c r="E210" cm="1">
        <f t="array" ref="E210">_xlfn.IFS(B210="S", 200000, B210="A", 160000, B210="B", 130000) * _xlfn.IFS(D210="Entry (L3)", 0.8, D210="Mid (L4)", 1, D210="Senior (L5)", 1.4, D210="Staff (L6)", 1.8, D210="Principal (L7)", 2.5)</f>
        <v>130000</v>
      </c>
    </row>
    <row r="211" spans="2:5">
      <c r="B211" s="9" t="s">
        <v>93</v>
      </c>
      <c r="D211" t="s">
        <v>98</v>
      </c>
      <c r="E211" cm="1">
        <f t="array" ref="E211">_xlfn.IFS(B211="S", 200000, B211="A", 160000, B211="B", 130000) * _xlfn.IFS(D211="Entry (L3)", 0.8, D211="Mid (L4)", 1, D211="Senior (L5)", 1.4, D211="Staff (L6)", 1.8, D211="Principal (L7)", 2.5)</f>
        <v>182000</v>
      </c>
    </row>
    <row r="212" spans="2:5">
      <c r="B212" s="9" t="s">
        <v>93</v>
      </c>
      <c r="D212" t="s">
        <v>97</v>
      </c>
      <c r="E212" cm="1">
        <f t="array" ref="E212">_xlfn.IFS(B212="S", 200000, B212="A", 160000, B212="B", 130000) * _xlfn.IFS(D212="Entry (L3)", 0.8, D212="Mid (L4)", 1, D212="Senior (L5)", 1.4, D212="Staff (L6)", 1.8, D212="Principal (L7)", 2.5)</f>
        <v>234000</v>
      </c>
    </row>
    <row r="213" spans="2:5">
      <c r="B213" s="9" t="s">
        <v>93</v>
      </c>
      <c r="D213" t="s">
        <v>96</v>
      </c>
      <c r="E213" cm="1">
        <f t="array" ref="E213">_xlfn.IFS(B213="S", 200000, B213="A", 160000, B213="B", 130000) * _xlfn.IFS(D213="Entry (L3)", 0.8, D213="Mid (L4)", 1, D213="Senior (L5)", 1.4, D213="Staff (L6)", 1.8, D213="Principal (L7)", 2.5)</f>
        <v>325000</v>
      </c>
    </row>
    <row r="214" spans="2:5">
      <c r="B214" s="9" t="s">
        <v>93</v>
      </c>
      <c r="C214" t="s">
        <v>66</v>
      </c>
      <c r="D214" t="s">
        <v>94</v>
      </c>
      <c r="E214" cm="1">
        <f t="array" ref="E214">_xlfn.IFS(B214="S", 200000, B214="A", 160000, B214="B", 130000) * _xlfn.IFS(D214="Entry (L3)", 0.8, D214="Mid (L4)", 1, D214="Senior (L5)", 1.4, D214="Staff (L6)", 1.8, D214="Principal (L7)", 2.5)</f>
        <v>104000</v>
      </c>
    </row>
    <row r="215" spans="2:5">
      <c r="B215" s="9" t="s">
        <v>93</v>
      </c>
      <c r="D215" t="s">
        <v>95</v>
      </c>
      <c r="E215" cm="1">
        <f t="array" ref="E215">_xlfn.IFS(B215="S", 200000, B215="A", 160000, B215="B", 130000) * _xlfn.IFS(D215="Entry (L3)", 0.8, D215="Mid (L4)", 1, D215="Senior (L5)", 1.4, D215="Staff (L6)", 1.8, D215="Principal (L7)", 2.5)</f>
        <v>130000</v>
      </c>
    </row>
    <row r="216" spans="2:5">
      <c r="B216" s="9" t="s">
        <v>93</v>
      </c>
      <c r="D216" t="s">
        <v>98</v>
      </c>
      <c r="E216" cm="1">
        <f t="array" ref="E216">_xlfn.IFS(B216="S", 200000, B216="A", 160000, B216="B", 130000) * _xlfn.IFS(D216="Entry (L3)", 0.8, D216="Mid (L4)", 1, D216="Senior (L5)", 1.4, D216="Staff (L6)", 1.8, D216="Principal (L7)", 2.5)</f>
        <v>182000</v>
      </c>
    </row>
    <row r="217" spans="2:5">
      <c r="B217" s="9" t="s">
        <v>93</v>
      </c>
      <c r="D217" t="s">
        <v>97</v>
      </c>
      <c r="E217" cm="1">
        <f t="array" ref="E217">_xlfn.IFS(B217="S", 200000, B217="A", 160000, B217="B", 130000) * _xlfn.IFS(D217="Entry (L3)", 0.8, D217="Mid (L4)", 1, D217="Senior (L5)", 1.4, D217="Staff (L6)", 1.8, D217="Principal (L7)", 2.5)</f>
        <v>234000</v>
      </c>
    </row>
    <row r="218" spans="2:5">
      <c r="B218" s="9" t="s">
        <v>93</v>
      </c>
      <c r="D218" t="s">
        <v>96</v>
      </c>
      <c r="E218" cm="1">
        <f t="array" ref="E218">_xlfn.IFS(B218="S", 200000, B218="A", 160000, B218="B", 130000) * _xlfn.IFS(D218="Entry (L3)", 0.8, D218="Mid (L4)", 1, D218="Senior (L5)", 1.4, D218="Staff (L6)", 1.8, D218="Principal (L7)", 2.5)</f>
        <v>325000</v>
      </c>
    </row>
    <row r="219" spans="2:5">
      <c r="B219" s="9" t="s">
        <v>93</v>
      </c>
      <c r="C219" t="s">
        <v>65</v>
      </c>
      <c r="D219" t="s">
        <v>94</v>
      </c>
      <c r="E219" cm="1">
        <f t="array" ref="E219">_xlfn.IFS(B219="S", 200000, B219="A", 160000, B219="B", 130000) * _xlfn.IFS(D219="Entry (L3)", 0.8, D219="Mid (L4)", 1, D219="Senior (L5)", 1.4, D219="Staff (L6)", 1.8, D219="Principal (L7)", 2.5)</f>
        <v>104000</v>
      </c>
    </row>
    <row r="220" spans="2:5">
      <c r="B220" s="9" t="s">
        <v>93</v>
      </c>
      <c r="D220" t="s">
        <v>95</v>
      </c>
      <c r="E220" cm="1">
        <f t="array" ref="E220">_xlfn.IFS(B220="S", 200000, B220="A", 160000, B220="B", 130000) * _xlfn.IFS(D220="Entry (L3)", 0.8, D220="Mid (L4)", 1, D220="Senior (L5)", 1.4, D220="Staff (L6)", 1.8, D220="Principal (L7)", 2.5)</f>
        <v>130000</v>
      </c>
    </row>
    <row r="221" spans="2:5">
      <c r="B221" s="9" t="s">
        <v>93</v>
      </c>
      <c r="D221" t="s">
        <v>98</v>
      </c>
      <c r="E221" cm="1">
        <f t="array" ref="E221">_xlfn.IFS(B221="S", 200000, B221="A", 160000, B221="B", 130000) * _xlfn.IFS(D221="Entry (L3)", 0.8, D221="Mid (L4)", 1, D221="Senior (L5)", 1.4, D221="Staff (L6)", 1.8, D221="Principal (L7)", 2.5)</f>
        <v>182000</v>
      </c>
    </row>
    <row r="222" spans="2:5">
      <c r="B222" s="9" t="s">
        <v>93</v>
      </c>
      <c r="D222" t="s">
        <v>97</v>
      </c>
      <c r="E222" cm="1">
        <f t="array" ref="E222">_xlfn.IFS(B222="S", 200000, B222="A", 160000, B222="B", 130000) * _xlfn.IFS(D222="Entry (L3)", 0.8, D222="Mid (L4)", 1, D222="Senior (L5)", 1.4, D222="Staff (L6)", 1.8, D222="Principal (L7)", 2.5)</f>
        <v>234000</v>
      </c>
    </row>
    <row r="223" spans="2:5">
      <c r="B223" s="9" t="s">
        <v>93</v>
      </c>
      <c r="D223" t="s">
        <v>96</v>
      </c>
      <c r="E223" cm="1">
        <f t="array" ref="E223">_xlfn.IFS(B223="S", 200000, B223="A", 160000, B223="B", 130000) * _xlfn.IFS(D223="Entry (L3)", 0.8, D223="Mid (L4)", 1, D223="Senior (L5)", 1.4, D223="Staff (L6)", 1.8, D223="Principal (L7)", 2.5)</f>
        <v>325000</v>
      </c>
    </row>
    <row r="224" spans="2:5">
      <c r="B224" s="9" t="s">
        <v>93</v>
      </c>
      <c r="C224" t="s">
        <v>56</v>
      </c>
      <c r="D224" t="s">
        <v>94</v>
      </c>
      <c r="E224" cm="1">
        <f t="array" ref="E224">_xlfn.IFS(B224="S", 200000, B224="A", 160000, B224="B", 130000) * _xlfn.IFS(D224="Entry (L3)", 0.8, D224="Mid (L4)", 1, D224="Senior (L5)", 1.4, D224="Staff (L6)", 1.8, D224="Principal (L7)", 2.5)</f>
        <v>104000</v>
      </c>
    </row>
    <row r="225" spans="2:5">
      <c r="B225" s="9" t="s">
        <v>93</v>
      </c>
      <c r="D225" t="s">
        <v>95</v>
      </c>
      <c r="E225" cm="1">
        <f t="array" ref="E225">_xlfn.IFS(B225="S", 200000, B225="A", 160000, B225="B", 130000) * _xlfn.IFS(D225="Entry (L3)", 0.8, D225="Mid (L4)", 1, D225="Senior (L5)", 1.4, D225="Staff (L6)", 1.8, D225="Principal (L7)", 2.5)</f>
        <v>130000</v>
      </c>
    </row>
    <row r="226" spans="2:5">
      <c r="B226" s="9" t="s">
        <v>93</v>
      </c>
      <c r="D226" t="s">
        <v>98</v>
      </c>
      <c r="E226" cm="1">
        <f t="array" ref="E226">_xlfn.IFS(B226="S", 200000, B226="A", 160000, B226="B", 130000) * _xlfn.IFS(D226="Entry (L3)", 0.8, D226="Mid (L4)", 1, D226="Senior (L5)", 1.4, D226="Staff (L6)", 1.8, D226="Principal (L7)", 2.5)</f>
        <v>182000</v>
      </c>
    </row>
    <row r="227" spans="2:5">
      <c r="B227" s="9" t="s">
        <v>93</v>
      </c>
      <c r="D227" t="s">
        <v>97</v>
      </c>
      <c r="E227" cm="1">
        <f t="array" ref="E227">_xlfn.IFS(B227="S", 200000, B227="A", 160000, B227="B", 130000) * _xlfn.IFS(D227="Entry (L3)", 0.8, D227="Mid (L4)", 1, D227="Senior (L5)", 1.4, D227="Staff (L6)", 1.8, D227="Principal (L7)", 2.5)</f>
        <v>234000</v>
      </c>
    </row>
    <row r="228" spans="2:5">
      <c r="B228" s="9" t="s">
        <v>93</v>
      </c>
      <c r="D228" t="s">
        <v>96</v>
      </c>
      <c r="E228" cm="1">
        <f t="array" ref="E228">_xlfn.IFS(B228="S", 200000, B228="A", 160000, B228="B", 130000) * _xlfn.IFS(D228="Entry (L3)", 0.8, D228="Mid (L4)", 1, D228="Senior (L5)", 1.4, D228="Staff (L6)", 1.8, D228="Principal (L7)", 2.5)</f>
        <v>325000</v>
      </c>
    </row>
    <row r="229" spans="2:5">
      <c r="B229" s="9" t="s">
        <v>93</v>
      </c>
      <c r="C229" t="s">
        <v>58</v>
      </c>
      <c r="D229" t="s">
        <v>94</v>
      </c>
      <c r="E229" cm="1">
        <f t="array" ref="E229">_xlfn.IFS(B229="S", 200000, B229="A", 160000, B229="B", 130000) * _xlfn.IFS(D229="Entry (L3)", 0.8, D229="Mid (L4)", 1, D229="Senior (L5)", 1.4, D229="Staff (L6)", 1.8, D229="Principal (L7)", 2.5)</f>
        <v>104000</v>
      </c>
    </row>
    <row r="230" spans="2:5">
      <c r="B230" s="9" t="s">
        <v>93</v>
      </c>
      <c r="D230" t="s">
        <v>95</v>
      </c>
      <c r="E230" cm="1">
        <f t="array" ref="E230">_xlfn.IFS(B230="S", 200000, B230="A", 160000, B230="B", 130000) * _xlfn.IFS(D230="Entry (L3)", 0.8, D230="Mid (L4)", 1, D230="Senior (L5)", 1.4, D230="Staff (L6)", 1.8, D230="Principal (L7)", 2.5)</f>
        <v>130000</v>
      </c>
    </row>
    <row r="231" spans="2:5">
      <c r="B231" s="9" t="s">
        <v>93</v>
      </c>
      <c r="D231" t="s">
        <v>98</v>
      </c>
      <c r="E231" cm="1">
        <f t="array" ref="E231">_xlfn.IFS(B231="S", 200000, B231="A", 160000, B231="B", 130000) * _xlfn.IFS(D231="Entry (L3)", 0.8, D231="Mid (L4)", 1, D231="Senior (L5)", 1.4, D231="Staff (L6)", 1.8, D231="Principal (L7)", 2.5)</f>
        <v>182000</v>
      </c>
    </row>
    <row r="232" spans="2:5">
      <c r="B232" s="9" t="s">
        <v>93</v>
      </c>
      <c r="D232" t="s">
        <v>97</v>
      </c>
      <c r="E232" cm="1">
        <f t="array" ref="E232">_xlfn.IFS(B232="S", 200000, B232="A", 160000, B232="B", 130000) * _xlfn.IFS(D232="Entry (L3)", 0.8, D232="Mid (L4)", 1, D232="Senior (L5)", 1.4, D232="Staff (L6)", 1.8, D232="Principal (L7)", 2.5)</f>
        <v>234000</v>
      </c>
    </row>
    <row r="233" spans="2:5">
      <c r="B233" s="9" t="s">
        <v>93</v>
      </c>
      <c r="D233" t="s">
        <v>96</v>
      </c>
      <c r="E233" cm="1">
        <f t="array" ref="E233">_xlfn.IFS(B233="S", 200000, B233="A", 160000, B233="B", 130000) * _xlfn.IFS(D233="Entry (L3)", 0.8, D233="Mid (L4)", 1, D233="Senior (L5)", 1.4, D233="Staff (L6)", 1.8, D233="Principal (L7)", 2.5)</f>
        <v>325000</v>
      </c>
    </row>
    <row r="234" spans="2:5">
      <c r="B234" s="9" t="s">
        <v>93</v>
      </c>
      <c r="C234" t="s">
        <v>59</v>
      </c>
      <c r="D234" t="s">
        <v>94</v>
      </c>
      <c r="E234" cm="1">
        <f t="array" ref="E234">_xlfn.IFS(B234="S", 200000, B234="A", 160000, B234="B", 130000) * _xlfn.IFS(D234="Entry (L3)", 0.8, D234="Mid (L4)", 1, D234="Senior (L5)", 1.4, D234="Staff (L6)", 1.8, D234="Principal (L7)", 2.5)</f>
        <v>104000</v>
      </c>
    </row>
    <row r="235" spans="2:5">
      <c r="B235" s="9" t="s">
        <v>93</v>
      </c>
      <c r="D235" t="s">
        <v>95</v>
      </c>
      <c r="E235" cm="1">
        <f t="array" ref="E235">_xlfn.IFS(B235="S", 200000, B235="A", 160000, B235="B", 130000) * _xlfn.IFS(D235="Entry (L3)", 0.8, D235="Mid (L4)", 1, D235="Senior (L5)", 1.4, D235="Staff (L6)", 1.8, D235="Principal (L7)", 2.5)</f>
        <v>130000</v>
      </c>
    </row>
    <row r="236" spans="2:5">
      <c r="B236" s="9" t="s">
        <v>93</v>
      </c>
      <c r="D236" t="s">
        <v>98</v>
      </c>
      <c r="E236" cm="1">
        <f t="array" ref="E236">_xlfn.IFS(B236="S", 200000, B236="A", 160000, B236="B", 130000) * _xlfn.IFS(D236="Entry (L3)", 0.8, D236="Mid (L4)", 1, D236="Senior (L5)", 1.4, D236="Staff (L6)", 1.8, D236="Principal (L7)", 2.5)</f>
        <v>182000</v>
      </c>
    </row>
    <row r="237" spans="2:5">
      <c r="B237" s="9" t="s">
        <v>93</v>
      </c>
      <c r="D237" t="s">
        <v>97</v>
      </c>
      <c r="E237" cm="1">
        <f t="array" ref="E237">_xlfn.IFS(B237="S", 200000, B237="A", 160000, B237="B", 130000) * _xlfn.IFS(D237="Entry (L3)", 0.8, D237="Mid (L4)", 1, D237="Senior (L5)", 1.4, D237="Staff (L6)", 1.8, D237="Principal (L7)", 2.5)</f>
        <v>234000</v>
      </c>
    </row>
    <row r="238" spans="2:5">
      <c r="B238" s="9" t="s">
        <v>93</v>
      </c>
      <c r="D238" t="s">
        <v>96</v>
      </c>
      <c r="E238" cm="1">
        <f t="array" ref="E238">_xlfn.IFS(B238="S", 200000, B238="A", 160000, B238="B", 130000) * _xlfn.IFS(D238="Entry (L3)", 0.8, D238="Mid (L4)", 1, D238="Senior (L5)", 1.4, D238="Staff (L6)", 1.8, D238="Principal (L7)", 2.5)</f>
        <v>325000</v>
      </c>
    </row>
    <row r="239" spans="2:5">
      <c r="B239" s="9" t="s">
        <v>93</v>
      </c>
      <c r="C239" t="s">
        <v>88</v>
      </c>
      <c r="D239" t="s">
        <v>94</v>
      </c>
      <c r="E239" cm="1">
        <f t="array" ref="E239">_xlfn.IFS(B239="S", 200000, B239="A", 160000, B239="B", 130000) * _xlfn.IFS(D239="Entry (L3)", 0.8, D239="Mid (L4)", 1, D239="Senior (L5)", 1.4, D239="Staff (L6)", 1.8, D239="Principal (L7)", 2.5)</f>
        <v>104000</v>
      </c>
    </row>
    <row r="240" spans="2:5">
      <c r="B240" s="9" t="s">
        <v>93</v>
      </c>
      <c r="D240" t="s">
        <v>95</v>
      </c>
      <c r="E240" cm="1">
        <f t="array" ref="E240">_xlfn.IFS(B240="S", 200000, B240="A", 160000, B240="B", 130000) * _xlfn.IFS(D240="Entry (L3)", 0.8, D240="Mid (L4)", 1, D240="Senior (L5)", 1.4, D240="Staff (L6)", 1.8, D240="Principal (L7)", 2.5)</f>
        <v>130000</v>
      </c>
    </row>
    <row r="241" spans="2:5">
      <c r="B241" s="9" t="s">
        <v>93</v>
      </c>
      <c r="D241" t="s">
        <v>98</v>
      </c>
      <c r="E241" cm="1">
        <f t="array" ref="E241">_xlfn.IFS(B241="S", 200000, B241="A", 160000, B241="B", 130000) * _xlfn.IFS(D241="Entry (L3)", 0.8, D241="Mid (L4)", 1, D241="Senior (L5)", 1.4, D241="Staff (L6)", 1.8, D241="Principal (L7)", 2.5)</f>
        <v>182000</v>
      </c>
    </row>
    <row r="242" spans="2:5">
      <c r="B242" s="9" t="s">
        <v>93</v>
      </c>
      <c r="D242" t="s">
        <v>97</v>
      </c>
      <c r="E242" cm="1">
        <f t="array" ref="E242">_xlfn.IFS(B242="S", 200000, B242="A", 160000, B242="B", 130000) * _xlfn.IFS(D242="Entry (L3)", 0.8, D242="Mid (L4)", 1, D242="Senior (L5)", 1.4, D242="Staff (L6)", 1.8, D242="Principal (L7)", 2.5)</f>
        <v>234000</v>
      </c>
    </row>
    <row r="243" spans="2:5">
      <c r="B243" s="9" t="s">
        <v>93</v>
      </c>
      <c r="D243" t="s">
        <v>96</v>
      </c>
      <c r="E243" cm="1">
        <f t="array" ref="E243">_xlfn.IFS(B243="S", 200000, B243="A", 160000, B243="B", 130000) * _xlfn.IFS(D243="Entry (L3)", 0.8, D243="Mid (L4)", 1, D243="Senior (L5)", 1.4, D243="Staff (L6)", 1.8, D243="Principal (L7)", 2.5)</f>
        <v>325000</v>
      </c>
    </row>
  </sheetData>
  <sortState xmlns:xlrd2="http://schemas.microsoft.com/office/spreadsheetml/2017/richdata2" ref="B4:F243">
    <sortCondition ref="F4:F243"/>
  </sortState>
  <mergeCells count="11">
    <mergeCell ref="V4:X4"/>
    <mergeCell ref="V12:X13"/>
    <mergeCell ref="V21:X21"/>
    <mergeCell ref="Z2:AB2"/>
    <mergeCell ref="Z4:AB4"/>
    <mergeCell ref="Z12:AB13"/>
    <mergeCell ref="Z21:AB21"/>
    <mergeCell ref="B2:E2"/>
    <mergeCell ref="J2:L2"/>
    <mergeCell ref="N2:Q2"/>
    <mergeCell ref="V2:X2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F563-5AF2-0A43-A421-0E8AF3388231}">
  <dimension ref="B2:D23"/>
  <sheetViews>
    <sheetView showGridLines="0" tabSelected="1" zoomScale="130" zoomScaleNormal="130" workbookViewId="0">
      <selection activeCell="D4" sqref="D4"/>
    </sheetView>
  </sheetViews>
  <sheetFormatPr defaultColWidth="11" defaultRowHeight="15.75"/>
  <cols>
    <col min="2" max="2" width="22.75" bestFit="1" customWidth="1"/>
  </cols>
  <sheetData>
    <row r="2" spans="2:4">
      <c r="B2" s="20" t="s">
        <v>125</v>
      </c>
      <c r="C2" s="20"/>
      <c r="D2" s="20"/>
    </row>
    <row r="3" spans="2:4">
      <c r="B3" s="13" t="s">
        <v>127</v>
      </c>
      <c r="C3" t="s">
        <v>29</v>
      </c>
      <c r="D3" s="18">
        <f>Assumptions!E11*(1+Assumptions!E12/100)+Assumptions!E13+Assumptions!E14</f>
        <v>234699.99999999997</v>
      </c>
    </row>
    <row r="4" spans="2:4">
      <c r="B4" t="s">
        <v>155</v>
      </c>
      <c r="C4" t="s">
        <v>29</v>
      </c>
      <c r="D4" cm="1">
        <f t="array" ref="D4">_xlfn.IFS(
    Assumptions!E9=Market_Comps!V4,
    _xlfn.XLOOKUP(Valuation!D3, Market_Comps!V5:V11, Market_Comps!X5:X11, , -1) + (Valuation!D3 - _xlfn.XLOOKUP(Valuation!D3, Market_Comps!V5:V11, Market_Comps!V5:V11, , -1)) * _xlfn.XLOOKUP(Valuation!D3, Market_Comps!V5:V11, Market_Comps!W5:W11, , -1),
    Assumptions!E9=Market_Comps!V12,
    _xlfn.XLOOKUP(Valuation!D3, Market_Comps!V14:V20, Market_Comps!X14:X20, , -1) + (Valuation!D3 - _xlfn.XLOOKUP(Valuation!D3, Market_Comps!V14:V20, Market_Comps!V14:V20, , -1)) * _xlfn.XLOOKUP(Valuation!D3, Market_Comps!V14:V20, Market_Comps!W14:W20, , -1),
    Assumptions!E9=Market_Comps!V21,
    _xlfn.XLOOKUP(Valuation!D3, Market_Comps!V22:V28, Market_Comps!X22:X28, , -1) + (Valuation!D3 - _xlfn.XLOOKUP(Valuation!D3, Market_Comps!V22:V28, Market_Comps!V22:V28, , -1)) * _xlfn.XLOOKUP(Valuation!D3, Market_Comps!V22:V28, Market_Comps!W22:W28, , -1)
)</f>
        <v>9369384475.3199921</v>
      </c>
    </row>
    <row r="5" spans="2:4">
      <c r="B5" t="s">
        <v>126</v>
      </c>
      <c r="C5" t="s">
        <v>29</v>
      </c>
      <c r="D5" s="18">
        <f>D3*Market_Comps!T4</f>
        <v>145513.99999999997</v>
      </c>
    </row>
    <row r="6" spans="2:4">
      <c r="D6" s="18"/>
    </row>
    <row r="7" spans="2:4">
      <c r="B7" t="s">
        <v>128</v>
      </c>
      <c r="C7" t="s">
        <v>41</v>
      </c>
      <c r="D7" s="18" t="str" cm="1">
        <f t="array" ref="D7">_xlfn.XLOOKUP(Assumptions!E5&amp;Assumptions!E6, Market_Comps!J:J&amp;Market_Comps!K:K, Market_Comps!L:L, "Error")</f>
        <v>Senior (L5)</v>
      </c>
    </row>
    <row r="8" spans="2:4">
      <c r="B8" t="s">
        <v>150</v>
      </c>
      <c r="C8" t="s">
        <v>29</v>
      </c>
      <c r="D8" s="18">
        <f>SUMIFS(Market_Comps!E:E, Market_Comps!C:C, Assumptions!E5, Market_Comps!D:D, D7)</f>
        <v>256607</v>
      </c>
    </row>
    <row r="9" spans="2:4">
      <c r="B9" t="s">
        <v>133</v>
      </c>
      <c r="C9" t="s">
        <v>29</v>
      </c>
      <c r="D9" s="18">
        <f>AVERAGEIFS(Market_Comps!E:E, Market_Comps!D:D, Valuation!D7)</f>
        <v>258488.9375</v>
      </c>
    </row>
    <row r="11" spans="2:4">
      <c r="B11" t="s">
        <v>134</v>
      </c>
      <c r="C11" t="s">
        <v>29</v>
      </c>
      <c r="D11" s="18">
        <f>(IF(Assumptions!E18&lt;&gt;"",Assumptions!E18,_xlfn.XLOOKUP(Assumptions!E16,Market_Comps!N:N,Market_Comps!O:O))+IF(Assumptions!E19&lt;&gt;"",Assumptions!E19,_xlfn.XLOOKUP(Assumptions!E16,Market_Comps!N:N,Market_Comps!P:P)*_xlfn.XLOOKUP(Assumptions!E16,Market_Comps!N:N,Market_Comps!Q:Q))*12)</f>
        <v>1748</v>
      </c>
    </row>
    <row r="12" spans="2:4">
      <c r="C12" t="s">
        <v>138</v>
      </c>
    </row>
    <row r="13" spans="2:4">
      <c r="B13" t="s">
        <v>139</v>
      </c>
      <c r="C13" t="s">
        <v>143</v>
      </c>
      <c r="D13">
        <f>250-Assumptions!E23</f>
        <v>233</v>
      </c>
    </row>
    <row r="15" spans="2:4">
      <c r="B15" t="s">
        <v>140</v>
      </c>
      <c r="C15" t="s">
        <v>142</v>
      </c>
      <c r="D15">
        <f>(Assumptions!E22/5*D13)+(Assumptions!E19*Assumptions!E20*52)-(Assumptions!E20*Assumptions!E23)</f>
        <v>2482.8000000000002</v>
      </c>
    </row>
    <row r="17" spans="2:4">
      <c r="B17" t="s">
        <v>141</v>
      </c>
      <c r="C17" t="s">
        <v>144</v>
      </c>
      <c r="D17">
        <f>D5/D15</f>
        <v>58.608828741743174</v>
      </c>
    </row>
    <row r="19" spans="2:4">
      <c r="B19" t="s">
        <v>146</v>
      </c>
      <c r="D19">
        <f>(D3/((0.8*D8)+(0.2*D9)))*100</f>
        <v>91.328860703106713</v>
      </c>
    </row>
    <row r="20" spans="2:4">
      <c r="B20" t="s">
        <v>147</v>
      </c>
      <c r="D20">
        <f>(Market_Comps!T6/D15)*100</f>
        <v>83.776381504752692</v>
      </c>
    </row>
    <row r="21" spans="2:4">
      <c r="B21" t="s">
        <v>148</v>
      </c>
      <c r="D21">
        <f>AVERAGE(Assumptions!E24:E26)/5*100</f>
        <v>80</v>
      </c>
    </row>
    <row r="23" spans="2:4">
      <c r="B23" t="s">
        <v>149</v>
      </c>
      <c r="D23">
        <f>(Valuation!D19*(Assumptions!E28/100)+Valuation!D20*(Assumptions!E29/100)+Valuation!D21*(Valuation!E29/100))/96*100</f>
        <v>82.473940576515034</v>
      </c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FA24-3DE7-1647-B23A-2A67265D7E74}">
  <dimension ref="B3:D7"/>
  <sheetViews>
    <sheetView showGridLines="0" zoomScale="130" zoomScaleNormal="130" workbookViewId="0">
      <selection activeCell="I3" sqref="I3"/>
    </sheetView>
  </sheetViews>
  <sheetFormatPr defaultColWidth="11" defaultRowHeight="15.75"/>
  <cols>
    <col min="2" max="2" width="15.5" bestFit="1" customWidth="1"/>
  </cols>
  <sheetData>
    <row r="3" spans="2:4" ht="28.5">
      <c r="B3" s="25" t="s">
        <v>152</v>
      </c>
      <c r="C3" s="25"/>
      <c r="D3" s="25"/>
    </row>
    <row r="4" spans="2:4">
      <c r="B4" s="26" t="s">
        <v>153</v>
      </c>
      <c r="D4">
        <f>Valuation!D23</f>
        <v>82.473940576515034</v>
      </c>
    </row>
    <row r="5" spans="2:4">
      <c r="B5" s="26" t="s">
        <v>154</v>
      </c>
      <c r="D5">
        <f>Valuation!D17</f>
        <v>58.608828741743174</v>
      </c>
    </row>
    <row r="6" spans="2:4">
      <c r="B6" s="26" t="s">
        <v>127</v>
      </c>
      <c r="D6">
        <f>Valuation!D3</f>
        <v>234699.99999999997</v>
      </c>
    </row>
    <row r="7" spans="2:4">
      <c r="B7" s="26" t="s">
        <v>126</v>
      </c>
      <c r="D7">
        <f>Valuation!D5</f>
        <v>145513.99999999997</v>
      </c>
    </row>
  </sheetData>
  <mergeCells count="1">
    <mergeCell ref="B3:D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Market_Comps</vt:lpstr>
      <vt:lpstr>Valuation</vt:lpstr>
      <vt:lpstr>Interface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Sun</dc:creator>
  <cp:lastModifiedBy>Daniel Sun</cp:lastModifiedBy>
  <dcterms:created xsi:type="dcterms:W3CDTF">2026-03-10T20:34:38Z</dcterms:created>
  <dcterms:modified xsi:type="dcterms:W3CDTF">2026-04-14T06:38:58Z</dcterms:modified>
</cp:coreProperties>
</file>